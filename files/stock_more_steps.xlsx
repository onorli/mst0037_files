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yvind/Library/Mobile Documents/com~apple~CloudDocs/Documents/Teaching/SelFin_2023/S09_options/"/>
    </mc:Choice>
  </mc:AlternateContent>
  <xr:revisionPtr revIDLastSave="0" documentId="13_ncr:1_{97B64C56-7F37-B84D-8325-AC94740CF58F}" xr6:coauthVersionLast="47" xr6:coauthVersionMax="47" xr10:uidLastSave="{00000000-0000-0000-0000-000000000000}"/>
  <bookViews>
    <workbookView xWindow="7260" yWindow="3280" windowWidth="28920" windowHeight="14880" xr2:uid="{60177B54-9B19-F545-8921-37B5D693A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C8" i="1"/>
  <c r="G12" i="1" l="1"/>
  <c r="I14" i="1" s="1"/>
  <c r="K16" i="1" s="1"/>
  <c r="G8" i="1"/>
  <c r="I10" i="1" l="1"/>
  <c r="K12" i="1" s="1"/>
  <c r="I6" i="1"/>
  <c r="K4" i="1" l="1"/>
  <c r="K8" i="1"/>
</calcChain>
</file>

<file path=xl/sharedStrings.xml><?xml version="1.0" encoding="utf-8"?>
<sst xmlns="http://schemas.openxmlformats.org/spreadsheetml/2006/main" count="13" uniqueCount="13">
  <si>
    <t>P32</t>
  </si>
  <si>
    <t>u</t>
  </si>
  <si>
    <t>d</t>
  </si>
  <si>
    <r>
      <t>S</t>
    </r>
    <r>
      <rPr>
        <vertAlign val="subscript"/>
        <sz val="12"/>
        <color theme="1"/>
        <rFont val="Calibri (Body)"/>
      </rPr>
      <t>0</t>
    </r>
  </si>
  <si>
    <r>
      <t>P</t>
    </r>
    <r>
      <rPr>
        <vertAlign val="subscript"/>
        <sz val="12"/>
        <color theme="1"/>
        <rFont val="Calibri (Body)"/>
      </rPr>
      <t>0</t>
    </r>
  </si>
  <si>
    <r>
      <t>P</t>
    </r>
    <r>
      <rPr>
        <vertAlign val="subscript"/>
        <sz val="12"/>
        <color theme="1"/>
        <rFont val="Calibri (Body)"/>
      </rPr>
      <t>11</t>
    </r>
  </si>
  <si>
    <r>
      <t>P</t>
    </r>
    <r>
      <rPr>
        <vertAlign val="subscript"/>
        <sz val="12"/>
        <color theme="1"/>
        <rFont val="Calibri (Body)"/>
      </rPr>
      <t>12</t>
    </r>
  </si>
  <si>
    <r>
      <t>P</t>
    </r>
    <r>
      <rPr>
        <vertAlign val="subscript"/>
        <sz val="12"/>
        <color theme="1"/>
        <rFont val="Calibri (Body)"/>
      </rPr>
      <t>21</t>
    </r>
  </si>
  <si>
    <r>
      <t>P</t>
    </r>
    <r>
      <rPr>
        <vertAlign val="subscript"/>
        <sz val="12"/>
        <color theme="1"/>
        <rFont val="Calibri (Body)"/>
      </rPr>
      <t>22</t>
    </r>
  </si>
  <si>
    <r>
      <t>P</t>
    </r>
    <r>
      <rPr>
        <vertAlign val="subscript"/>
        <sz val="12"/>
        <color theme="1"/>
        <rFont val="Calibri (Body)"/>
      </rPr>
      <t>23</t>
    </r>
  </si>
  <si>
    <r>
      <t>P</t>
    </r>
    <r>
      <rPr>
        <vertAlign val="subscript"/>
        <sz val="12"/>
        <color theme="1"/>
        <rFont val="Calibri (Body)"/>
      </rPr>
      <t>31</t>
    </r>
  </si>
  <si>
    <r>
      <t>P</t>
    </r>
    <r>
      <rPr>
        <vertAlign val="subscript"/>
        <sz val="12"/>
        <color theme="1"/>
        <rFont val="Calibri (Body)"/>
      </rPr>
      <t>33</t>
    </r>
  </si>
  <si>
    <r>
      <t>P</t>
    </r>
    <r>
      <rPr>
        <vertAlign val="subscript"/>
        <sz val="12"/>
        <color theme="1"/>
        <rFont val="Calibri (Body)"/>
      </rPr>
      <t>34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</si>
</sst>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0" fillId="4" borderId="1" xfId="0" applyFill="1" applyBorder="1"/>
    <xf numFmtId="0" fontId="0" fillId="3" borderId="2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7" xfId="0" applyFill="1" applyBorder="1"/>
    <xf numFmtId="164" fontId="0" fillId="3" borderId="8" xfId="0" applyNumberFormat="1" applyFill="1" applyBorder="1"/>
    <xf numFmtId="165" fontId="0" fillId="3" borderId="2" xfId="0" applyNumberFormat="1" applyFill="1" applyBorder="1" applyAlignment="1">
      <alignment horizontal="left"/>
    </xf>
    <xf numFmtId="2" fontId="0" fillId="5" borderId="2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7</xdr:row>
      <xdr:rowOff>38100</xdr:rowOff>
    </xdr:from>
    <xdr:to>
      <xdr:col>6</xdr:col>
      <xdr:colOff>0</xdr:colOff>
      <xdr:row>9</xdr:row>
      <xdr:rowOff>25400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61CB29-5DE3-7106-0273-62181B586F87}"/>
            </a:ext>
          </a:extLst>
        </xdr:cNvPr>
        <xdr:cNvCxnSpPr/>
      </xdr:nvCxnSpPr>
      <xdr:spPr>
        <a:xfrm flipV="1">
          <a:off x="1663700" y="41021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5</xdr:row>
      <xdr:rowOff>0</xdr:rowOff>
    </xdr:from>
    <xdr:to>
      <xdr:col>8</xdr:col>
      <xdr:colOff>0</xdr:colOff>
      <xdr:row>6</xdr:row>
      <xdr:rowOff>190500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63C3025-CFCF-E74C-945E-87EF0B402BDC}"/>
            </a:ext>
          </a:extLst>
        </xdr:cNvPr>
        <xdr:cNvCxnSpPr/>
      </xdr:nvCxnSpPr>
      <xdr:spPr>
        <a:xfrm flipV="1">
          <a:off x="2705100" y="36576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25400</xdr:rowOff>
    </xdr:from>
    <xdr:to>
      <xdr:col>9</xdr:col>
      <xdr:colOff>444500</xdr:colOff>
      <xdr:row>5</xdr:row>
      <xdr:rowOff>12700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05E1227-000A-064A-B3F3-5FDF5AA9933F}"/>
            </a:ext>
          </a:extLst>
        </xdr:cNvPr>
        <xdr:cNvCxnSpPr/>
      </xdr:nvCxnSpPr>
      <xdr:spPr>
        <a:xfrm flipV="1">
          <a:off x="3733800" y="32766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25400</xdr:rowOff>
    </xdr:from>
    <xdr:to>
      <xdr:col>10</xdr:col>
      <xdr:colOff>0</xdr:colOff>
      <xdr:row>9</xdr:row>
      <xdr:rowOff>12700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60449EB-C3C5-8B40-8A1E-91EFD957E4AA}"/>
            </a:ext>
          </a:extLst>
        </xdr:cNvPr>
        <xdr:cNvCxnSpPr/>
      </xdr:nvCxnSpPr>
      <xdr:spPr>
        <a:xfrm flipV="1">
          <a:off x="3746500" y="40894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12507</xdr:colOff>
      <xdr:row>9</xdr:row>
      <xdr:rowOff>12506</xdr:rowOff>
    </xdr:from>
    <xdr:to>
      <xdr:col>7</xdr:col>
      <xdr:colOff>457523</xdr:colOff>
      <xdr:row>10</xdr:row>
      <xdr:rowOff>206100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510C4DC-34B2-B749-8DEF-D560A3A88D9B}"/>
            </a:ext>
          </a:extLst>
        </xdr:cNvPr>
        <xdr:cNvCxnSpPr/>
      </xdr:nvCxnSpPr>
      <xdr:spPr>
        <a:xfrm flipV="1">
          <a:off x="2707228" y="4550983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11</xdr:row>
      <xdr:rowOff>25400</xdr:rowOff>
    </xdr:from>
    <xdr:to>
      <xdr:col>10</xdr:col>
      <xdr:colOff>0</xdr:colOff>
      <xdr:row>13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D24D1D3-6F4E-C548-9616-6F3DA5D2B848}"/>
            </a:ext>
          </a:extLst>
        </xdr:cNvPr>
        <xdr:cNvCxnSpPr/>
      </xdr:nvCxnSpPr>
      <xdr:spPr>
        <a:xfrm flipV="1">
          <a:off x="3746500" y="49022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12506</xdr:colOff>
      <xdr:row>9</xdr:row>
      <xdr:rowOff>18953</xdr:rowOff>
    </xdr:from>
    <xdr:to>
      <xdr:col>5</xdr:col>
      <xdr:colOff>457522</xdr:colOff>
      <xdr:row>11</xdr:row>
      <xdr:rowOff>6253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141289E-2126-5545-AB40-2C5DDCA5F6AD}"/>
            </a:ext>
          </a:extLst>
        </xdr:cNvPr>
        <xdr:cNvCxnSpPr/>
      </xdr:nvCxnSpPr>
      <xdr:spPr>
        <a:xfrm>
          <a:off x="1662861" y="4557430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10184</xdr:colOff>
      <xdr:row>11</xdr:row>
      <xdr:rowOff>10185</xdr:rowOff>
    </xdr:from>
    <xdr:to>
      <xdr:col>7</xdr:col>
      <xdr:colOff>455200</xdr:colOff>
      <xdr:row>12</xdr:row>
      <xdr:rowOff>203780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1CF3F24-C601-7348-BA76-AC6FC629593E}"/>
            </a:ext>
          </a:extLst>
        </xdr:cNvPr>
        <xdr:cNvCxnSpPr/>
      </xdr:nvCxnSpPr>
      <xdr:spPr>
        <a:xfrm>
          <a:off x="2704905" y="4961251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14311</xdr:colOff>
      <xdr:row>6</xdr:row>
      <xdr:rowOff>194819</xdr:rowOff>
    </xdr:from>
    <xdr:to>
      <xdr:col>8</xdr:col>
      <xdr:colOff>1611</xdr:colOff>
      <xdr:row>8</xdr:row>
      <xdr:rowOff>182119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B3AB4F0-AAB5-F24B-BD15-CEDC370FE7AB}"/>
            </a:ext>
          </a:extLst>
        </xdr:cNvPr>
        <xdr:cNvCxnSpPr/>
      </xdr:nvCxnSpPr>
      <xdr:spPr>
        <a:xfrm>
          <a:off x="2709032" y="4114413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11990</xdr:colOff>
      <xdr:row>5</xdr:row>
      <xdr:rowOff>11991</xdr:rowOff>
    </xdr:from>
    <xdr:to>
      <xdr:col>9</xdr:col>
      <xdr:colOff>457006</xdr:colOff>
      <xdr:row>6</xdr:row>
      <xdr:rowOff>205585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334F396-5DFA-4945-A444-5D4AA6779183}"/>
            </a:ext>
          </a:extLst>
        </xdr:cNvPr>
        <xdr:cNvCxnSpPr/>
      </xdr:nvCxnSpPr>
      <xdr:spPr>
        <a:xfrm>
          <a:off x="3751076" y="3725290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3223</xdr:colOff>
      <xdr:row>9</xdr:row>
      <xdr:rowOff>16117</xdr:rowOff>
    </xdr:from>
    <xdr:to>
      <xdr:col>9</xdr:col>
      <xdr:colOff>448239</xdr:colOff>
      <xdr:row>11</xdr:row>
      <xdr:rowOff>3417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C03A4B1-313E-1A43-A8B6-89E0D4C53560}"/>
            </a:ext>
          </a:extLst>
        </xdr:cNvPr>
        <xdr:cNvCxnSpPr/>
      </xdr:nvCxnSpPr>
      <xdr:spPr>
        <a:xfrm>
          <a:off x="3742309" y="4554594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7348</xdr:colOff>
      <xdr:row>13</xdr:row>
      <xdr:rowOff>13795</xdr:rowOff>
    </xdr:from>
    <xdr:to>
      <xdr:col>9</xdr:col>
      <xdr:colOff>452364</xdr:colOff>
      <xdr:row>15</xdr:row>
      <xdr:rowOff>1095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C8B5E9D-D9F0-C341-9296-4AAE730D68BA}"/>
            </a:ext>
          </a:extLst>
        </xdr:cNvPr>
        <xdr:cNvCxnSpPr/>
      </xdr:nvCxnSpPr>
      <xdr:spPr>
        <a:xfrm>
          <a:off x="3746434" y="5377450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AC32-DFBC-0849-8142-CC48F5027EF1}">
  <dimension ref="B3:K16"/>
  <sheetViews>
    <sheetView tabSelected="1" zoomScaleNormal="100" workbookViewId="0">
      <selection activeCell="B1" sqref="B1"/>
    </sheetView>
  </sheetViews>
  <sheetFormatPr baseColWidth="10" defaultRowHeight="16" x14ac:dyDescent="0.2"/>
  <cols>
    <col min="1" max="1" width="4.5" style="1" customWidth="1"/>
    <col min="2" max="2" width="9" style="1" customWidth="1"/>
    <col min="3" max="3" width="7.33203125" style="1" customWidth="1"/>
    <col min="4" max="4" width="7" style="1" customWidth="1"/>
    <col min="5" max="5" width="10.83203125" style="1"/>
    <col min="6" max="6" width="6" style="1" customWidth="1"/>
    <col min="7" max="7" width="7.6640625" style="1" customWidth="1"/>
    <col min="8" max="8" width="6" style="1" customWidth="1"/>
    <col min="9" max="9" width="7.6640625" style="1" customWidth="1"/>
    <col min="10" max="10" width="6" style="1" customWidth="1"/>
    <col min="11" max="11" width="7.6640625" style="1" customWidth="1"/>
    <col min="12" max="16384" width="10.83203125" style="1"/>
  </cols>
  <sheetData>
    <row r="3" spans="2:11" ht="18" x14ac:dyDescent="0.25">
      <c r="K3" s="2" t="s">
        <v>10</v>
      </c>
    </row>
    <row r="4" spans="2:11" x14ac:dyDescent="0.2">
      <c r="K4" s="12">
        <f>I6*$C$6</f>
        <v>73.649159107599985</v>
      </c>
    </row>
    <row r="5" spans="2:11" ht="18" x14ac:dyDescent="0.25">
      <c r="B5" s="5" t="s">
        <v>3</v>
      </c>
      <c r="C5" s="6">
        <v>50</v>
      </c>
      <c r="I5" s="2" t="s">
        <v>7</v>
      </c>
    </row>
    <row r="6" spans="2:11" x14ac:dyDescent="0.2">
      <c r="B6" s="7" t="s">
        <v>1</v>
      </c>
      <c r="C6" s="8">
        <v>1.1377999999999999</v>
      </c>
      <c r="I6" s="11">
        <f>G8*$C$6</f>
        <v>64.729441999999992</v>
      </c>
      <c r="J6" s="4"/>
    </row>
    <row r="7" spans="2:11" ht="18" x14ac:dyDescent="0.25">
      <c r="G7" s="2" t="s">
        <v>5</v>
      </c>
      <c r="K7" s="2" t="s">
        <v>0</v>
      </c>
    </row>
    <row r="8" spans="2:11" x14ac:dyDescent="0.2">
      <c r="B8" s="9" t="s">
        <v>2</v>
      </c>
      <c r="C8" s="10">
        <f>1/C6</f>
        <v>0.87888908419757428</v>
      </c>
      <c r="G8" s="11">
        <f>E10*$C$6</f>
        <v>56.889999999999993</v>
      </c>
      <c r="H8" s="4"/>
      <c r="K8" s="12">
        <f>I6*$C$8</f>
        <v>56.889999999999993</v>
      </c>
    </row>
    <row r="9" spans="2:11" ht="18" x14ac:dyDescent="0.25">
      <c r="E9" s="2" t="s">
        <v>4</v>
      </c>
      <c r="I9" s="2" t="s">
        <v>8</v>
      </c>
    </row>
    <row r="10" spans="2:11" x14ac:dyDescent="0.2">
      <c r="E10" s="3">
        <f>C5</f>
        <v>50</v>
      </c>
      <c r="F10" s="4"/>
      <c r="I10" s="11">
        <f>G8*$C$8</f>
        <v>49.999999999999993</v>
      </c>
      <c r="J10" s="4"/>
    </row>
    <row r="11" spans="2:11" ht="18" x14ac:dyDescent="0.25">
      <c r="G11" s="2" t="s">
        <v>6</v>
      </c>
      <c r="K11" s="2" t="s">
        <v>11</v>
      </c>
    </row>
    <row r="12" spans="2:11" x14ac:dyDescent="0.2">
      <c r="G12" s="11">
        <f>E10*$C$8</f>
        <v>43.944454209878714</v>
      </c>
      <c r="H12" s="4"/>
      <c r="K12" s="12">
        <f>I10*$C$8</f>
        <v>43.944454209878707</v>
      </c>
    </row>
    <row r="13" spans="2:11" ht="18" x14ac:dyDescent="0.25">
      <c r="I13" s="2" t="s">
        <v>9</v>
      </c>
    </row>
    <row r="14" spans="2:11" x14ac:dyDescent="0.2">
      <c r="I14" s="11">
        <f>G12*$C$8</f>
        <v>38.622301116082539</v>
      </c>
      <c r="J14" s="4"/>
    </row>
    <row r="15" spans="2:11" ht="18" x14ac:dyDescent="0.25">
      <c r="K15" s="2" t="s">
        <v>12</v>
      </c>
    </row>
    <row r="16" spans="2:11" x14ac:dyDescent="0.2">
      <c r="K16" s="12">
        <f>I14*$C$8</f>
        <v>33.944718857516733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Norli, Øyvind</dc:creator>
  <cp:lastModifiedBy>Norli, Øyvind</cp:lastModifiedBy>
  <dcterms:created xsi:type="dcterms:W3CDTF">2023-11-06T08:38:15Z</dcterms:created>
  <dcterms:modified xsi:type="dcterms:W3CDTF">2023-11-06T09:27:44Z</dcterms:modified>
</cp:coreProperties>
</file>