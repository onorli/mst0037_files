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vind/Library/Mobile Documents/com~apple~CloudDocs/Documents/Teaching/SelFin_2023/S09_options/"/>
    </mc:Choice>
  </mc:AlternateContent>
  <xr:revisionPtr revIDLastSave="0" documentId="13_ncr:1_{2D3855A0-1F3E-2440-B05B-16C7EC995F58}" xr6:coauthVersionLast="47" xr6:coauthVersionMax="47" xr10:uidLastSave="{00000000-0000-0000-0000-000000000000}"/>
  <bookViews>
    <workbookView xWindow="5460" yWindow="1580" windowWidth="28040" windowHeight="17440" xr2:uid="{CF9F5530-3642-4842-8C3F-681478A13CA0}"/>
  </bookViews>
  <sheets>
    <sheet name="call o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12" i="1" s="1"/>
  <c r="C13" i="1" s="1"/>
  <c r="C20" i="1" l="1"/>
  <c r="C21" i="1"/>
  <c r="C15" i="1"/>
</calcChain>
</file>

<file path=xl/sharedStrings.xml><?xml version="1.0" encoding="utf-8"?>
<sst xmlns="http://schemas.openxmlformats.org/spreadsheetml/2006/main" count="14" uniqueCount="14">
  <si>
    <t>Su</t>
  </si>
  <si>
    <t>Sd</t>
  </si>
  <si>
    <r>
      <t>S</t>
    </r>
    <r>
      <rPr>
        <vertAlign val="subscript"/>
        <sz val="12"/>
        <color theme="1"/>
        <rFont val="Calibri (Body)"/>
      </rPr>
      <t>0</t>
    </r>
  </si>
  <si>
    <t>Cu</t>
  </si>
  <si>
    <t>K</t>
  </si>
  <si>
    <t>Cd</t>
  </si>
  <si>
    <r>
      <t>C</t>
    </r>
    <r>
      <rPr>
        <vertAlign val="subscript"/>
        <sz val="12"/>
        <color theme="1"/>
        <rFont val="Calibri (Body)"/>
      </rPr>
      <t>0</t>
    </r>
  </si>
  <si>
    <t>𝛿*</t>
  </si>
  <si>
    <t>D</t>
  </si>
  <si>
    <t>r</t>
  </si>
  <si>
    <t>Call option price - replicating portfolio</t>
  </si>
  <si>
    <t>Hedge ratio</t>
  </si>
  <si>
    <t>Up: 𝛿*Su-Cu</t>
  </si>
  <si>
    <t>Down: 𝛿*Sd-Cd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</si>
</sst>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vertAlign val="subscript"/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0" fillId="4" borderId="7" xfId="0" applyFill="1" applyBorder="1"/>
    <xf numFmtId="0" fontId="0" fillId="2" borderId="5" xfId="0" applyFill="1" applyBorder="1"/>
    <xf numFmtId="0" fontId="0" fillId="2" borderId="6" xfId="0" applyFill="1" applyBorder="1"/>
    <xf numFmtId="0" fontId="0" fillId="5" borderId="8" xfId="0" applyFill="1" applyBorder="1"/>
    <xf numFmtId="0" fontId="0" fillId="5" borderId="9" xfId="0" applyFill="1" applyBorder="1"/>
    <xf numFmtId="2" fontId="0" fillId="2" borderId="0" xfId="0" applyNumberFormat="1" applyFill="1"/>
    <xf numFmtId="2" fontId="0" fillId="4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E594-CB62-9746-9919-5FB3D64B5837}">
  <dimension ref="B2:D21"/>
  <sheetViews>
    <sheetView tabSelected="1" workbookViewId="0"/>
  </sheetViews>
  <sheetFormatPr baseColWidth="10" defaultRowHeight="16" x14ac:dyDescent="0.2"/>
  <cols>
    <col min="1" max="1" width="10.83203125" style="1"/>
    <col min="2" max="2" width="13" style="1" customWidth="1"/>
    <col min="3" max="16384" width="10.83203125" style="1"/>
  </cols>
  <sheetData>
    <row r="2" spans="2:4" x14ac:dyDescent="0.2">
      <c r="B2" s="12" t="s">
        <v>10</v>
      </c>
      <c r="C2" s="13"/>
      <c r="D2" s="14"/>
    </row>
    <row r="4" spans="2:4" ht="18" x14ac:dyDescent="0.25">
      <c r="B4" s="2" t="s">
        <v>2</v>
      </c>
      <c r="C4" s="3">
        <v>50</v>
      </c>
    </row>
    <row r="5" spans="2:4" x14ac:dyDescent="0.2">
      <c r="B5" s="6" t="s">
        <v>0</v>
      </c>
      <c r="C5" s="7">
        <v>63</v>
      </c>
    </row>
    <row r="6" spans="2:4" x14ac:dyDescent="0.2">
      <c r="B6" s="6" t="s">
        <v>1</v>
      </c>
      <c r="C6" s="7">
        <v>40</v>
      </c>
    </row>
    <row r="7" spans="2:4" x14ac:dyDescent="0.2">
      <c r="B7" s="6" t="s">
        <v>4</v>
      </c>
      <c r="C7" s="7">
        <v>45</v>
      </c>
    </row>
    <row r="8" spans="2:4" x14ac:dyDescent="0.2">
      <c r="B8" s="4" t="s">
        <v>9</v>
      </c>
      <c r="C8" s="5">
        <v>1.4999999999999999E-2</v>
      </c>
    </row>
    <row r="10" spans="2:4" x14ac:dyDescent="0.2">
      <c r="B10" s="8" t="s">
        <v>3</v>
      </c>
      <c r="C10" s="9">
        <f>MAX(0,C5-C7)</f>
        <v>18</v>
      </c>
    </row>
    <row r="11" spans="2:4" x14ac:dyDescent="0.2">
      <c r="B11" s="16" t="s">
        <v>5</v>
      </c>
      <c r="C11" s="17">
        <f>MAX(0,C6-C7)</f>
        <v>0</v>
      </c>
    </row>
    <row r="12" spans="2:4" x14ac:dyDescent="0.2">
      <c r="B12" s="16" t="s">
        <v>7</v>
      </c>
      <c r="C12" s="17">
        <f>(C10-C11)/(C5-C6)</f>
        <v>0.78260869565217395</v>
      </c>
    </row>
    <row r="13" spans="2:4" x14ac:dyDescent="0.2">
      <c r="B13" s="10" t="s">
        <v>8</v>
      </c>
      <c r="C13" s="11">
        <f>(C12*C5-C10)/(1+C8)</f>
        <v>30.841721996144791</v>
      </c>
    </row>
    <row r="15" spans="2:4" ht="18" x14ac:dyDescent="0.25">
      <c r="B15" s="15" t="s">
        <v>6</v>
      </c>
      <c r="C15" s="21">
        <f>C12*C4-C13</f>
        <v>8.2887127864639041</v>
      </c>
    </row>
    <row r="18" spans="2:4" x14ac:dyDescent="0.2">
      <c r="B18" s="12" t="s">
        <v>11</v>
      </c>
      <c r="C18" s="18"/>
      <c r="D18" s="19"/>
    </row>
    <row r="20" spans="2:4" x14ac:dyDescent="0.2">
      <c r="B20" s="1" t="s">
        <v>12</v>
      </c>
      <c r="C20" s="20">
        <f>C12*C5-C10</f>
        <v>31.304347826086961</v>
      </c>
    </row>
    <row r="21" spans="2:4" x14ac:dyDescent="0.2">
      <c r="B21" s="1" t="s">
        <v>13</v>
      </c>
      <c r="C21" s="20">
        <f>C12*C6-C11</f>
        <v>31.304347826086957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Norli, Øyvind</dc:creator>
  <cp:lastModifiedBy>Norli, Øyvind</cp:lastModifiedBy>
  <dcterms:created xsi:type="dcterms:W3CDTF">2023-11-06T06:23:26Z</dcterms:created>
  <dcterms:modified xsi:type="dcterms:W3CDTF">2023-11-06T08:21:44Z</dcterms:modified>
</cp:coreProperties>
</file>