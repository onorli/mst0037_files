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Projects/mst0037_files/files/"/>
    </mc:Choice>
  </mc:AlternateContent>
  <xr:revisionPtr revIDLastSave="0" documentId="13_ncr:1_{D168B729-61F5-9148-BE89-F55C27441776}" xr6:coauthVersionLast="47" xr6:coauthVersionMax="47" xr10:uidLastSave="{00000000-0000-0000-0000-000000000000}"/>
  <bookViews>
    <workbookView xWindow="3120" yWindow="1820" windowWidth="25940" windowHeight="14920" activeTab="1" xr2:uid="{60177B54-9B19-F545-8921-37B5D693AC6D}"/>
  </bookViews>
  <sheets>
    <sheet name="Price" sheetId="4" r:id="rId1"/>
    <sheet name="Op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 l="1"/>
  <c r="C8" i="4"/>
  <c r="G12" i="4" s="1"/>
  <c r="I14" i="4" s="1"/>
  <c r="K16" i="4" s="1"/>
  <c r="K17" i="1" s="1"/>
  <c r="E10" i="4"/>
  <c r="G8" i="4" s="1"/>
  <c r="M9" i="1" l="1"/>
  <c r="M17" i="1"/>
  <c r="M13" i="1"/>
  <c r="M5" i="1"/>
  <c r="I10" i="4"/>
  <c r="K12" i="4" s="1"/>
  <c r="K13" i="1" s="1"/>
  <c r="I6" i="4"/>
  <c r="M19" i="1" l="1"/>
  <c r="K4" i="4"/>
  <c r="K5" i="1" s="1"/>
  <c r="E11" i="1" s="1"/>
  <c r="K8" i="4"/>
  <c r="K9" i="1" s="1"/>
</calcChain>
</file>

<file path=xl/sharedStrings.xml><?xml version="1.0" encoding="utf-8"?>
<sst xmlns="http://schemas.openxmlformats.org/spreadsheetml/2006/main" count="31" uniqueCount="28">
  <si>
    <t>P32</t>
  </si>
  <si>
    <t>u</t>
  </si>
  <si>
    <t>d</t>
  </si>
  <si>
    <r>
      <t>S</t>
    </r>
    <r>
      <rPr>
        <vertAlign val="subscript"/>
        <sz val="12"/>
        <color theme="1"/>
        <rFont val="Calibri (Body)"/>
      </rPr>
      <t>0</t>
    </r>
  </si>
  <si>
    <r>
      <t>P</t>
    </r>
    <r>
      <rPr>
        <vertAlign val="subscript"/>
        <sz val="12"/>
        <color theme="1"/>
        <rFont val="Calibri (Body)"/>
      </rPr>
      <t>0</t>
    </r>
  </si>
  <si>
    <r>
      <t>P</t>
    </r>
    <r>
      <rPr>
        <vertAlign val="subscript"/>
        <sz val="12"/>
        <color theme="1"/>
        <rFont val="Calibri (Body)"/>
      </rPr>
      <t>11</t>
    </r>
  </si>
  <si>
    <r>
      <t>P</t>
    </r>
    <r>
      <rPr>
        <vertAlign val="subscript"/>
        <sz val="12"/>
        <color theme="1"/>
        <rFont val="Calibri (Body)"/>
      </rPr>
      <t>12</t>
    </r>
  </si>
  <si>
    <r>
      <t>P</t>
    </r>
    <r>
      <rPr>
        <vertAlign val="subscript"/>
        <sz val="12"/>
        <color theme="1"/>
        <rFont val="Calibri (Body)"/>
      </rPr>
      <t>21</t>
    </r>
  </si>
  <si>
    <r>
      <t>P</t>
    </r>
    <r>
      <rPr>
        <vertAlign val="subscript"/>
        <sz val="12"/>
        <color theme="1"/>
        <rFont val="Calibri (Body)"/>
      </rPr>
      <t>22</t>
    </r>
  </si>
  <si>
    <r>
      <t>P</t>
    </r>
    <r>
      <rPr>
        <vertAlign val="subscript"/>
        <sz val="12"/>
        <color theme="1"/>
        <rFont val="Calibri (Body)"/>
      </rPr>
      <t>23</t>
    </r>
  </si>
  <si>
    <r>
      <t>P</t>
    </r>
    <r>
      <rPr>
        <vertAlign val="subscript"/>
        <sz val="12"/>
        <color theme="1"/>
        <rFont val="Calibri (Body)"/>
      </rPr>
      <t>31</t>
    </r>
  </si>
  <si>
    <r>
      <t>P</t>
    </r>
    <r>
      <rPr>
        <vertAlign val="subscript"/>
        <sz val="12"/>
        <color theme="1"/>
        <rFont val="Calibri (Body)"/>
      </rPr>
      <t>33</t>
    </r>
  </si>
  <si>
    <r>
      <t>P</t>
    </r>
    <r>
      <rPr>
        <vertAlign val="subscript"/>
        <sz val="12"/>
        <color theme="1"/>
        <rFont val="Calibri (Body)"/>
      </rPr>
      <t>34</t>
    </r>
  </si>
  <si>
    <t>C32</t>
  </si>
  <si>
    <r>
      <t>C</t>
    </r>
    <r>
      <rPr>
        <vertAlign val="subscript"/>
        <sz val="12"/>
        <color theme="1"/>
        <rFont val="Calibri (Body)"/>
      </rPr>
      <t>0</t>
    </r>
  </si>
  <si>
    <r>
      <t>C</t>
    </r>
    <r>
      <rPr>
        <vertAlign val="subscript"/>
        <sz val="12"/>
        <color theme="1"/>
        <rFont val="Calibri (Body)"/>
      </rPr>
      <t>11</t>
    </r>
  </si>
  <si>
    <r>
      <t>C</t>
    </r>
    <r>
      <rPr>
        <vertAlign val="subscript"/>
        <sz val="12"/>
        <color theme="1"/>
        <rFont val="Calibri (Body)"/>
      </rPr>
      <t>12</t>
    </r>
  </si>
  <si>
    <r>
      <t>C</t>
    </r>
    <r>
      <rPr>
        <vertAlign val="subscript"/>
        <sz val="12"/>
        <color theme="1"/>
        <rFont val="Calibri (Body)"/>
      </rPr>
      <t>21</t>
    </r>
  </si>
  <si>
    <r>
      <t>C</t>
    </r>
    <r>
      <rPr>
        <vertAlign val="subscript"/>
        <sz val="12"/>
        <color theme="1"/>
        <rFont val="Calibri (Body)"/>
      </rPr>
      <t>22</t>
    </r>
  </si>
  <si>
    <r>
      <t>C</t>
    </r>
    <r>
      <rPr>
        <vertAlign val="subscript"/>
        <sz val="12"/>
        <color theme="1"/>
        <rFont val="Calibri (Body)"/>
      </rPr>
      <t>23</t>
    </r>
  </si>
  <si>
    <r>
      <t>C</t>
    </r>
    <r>
      <rPr>
        <vertAlign val="subscript"/>
        <sz val="12"/>
        <color theme="1"/>
        <rFont val="Calibri (Body)"/>
      </rPr>
      <t>31</t>
    </r>
  </si>
  <si>
    <r>
      <t>C</t>
    </r>
    <r>
      <rPr>
        <vertAlign val="subscript"/>
        <sz val="12"/>
        <color theme="1"/>
        <rFont val="Calibri (Body)"/>
      </rPr>
      <t>33</t>
    </r>
  </si>
  <si>
    <r>
      <t>C</t>
    </r>
    <r>
      <rPr>
        <vertAlign val="subscript"/>
        <sz val="12"/>
        <color theme="1"/>
        <rFont val="Calibri (Body)"/>
      </rPr>
      <t>34</t>
    </r>
  </si>
  <si>
    <t>π</t>
  </si>
  <si>
    <t>r</t>
  </si>
  <si>
    <t>K</t>
  </si>
  <si>
    <t>Risk neutral</t>
  </si>
  <si>
    <t>Probabilities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</si>
</sst>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bscript"/>
      <sz val="12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1" xfId="0" applyFill="1" applyBorder="1"/>
    <xf numFmtId="0" fontId="0" fillId="3" borderId="1" xfId="0" applyFill="1" applyBorder="1"/>
    <xf numFmtId="0" fontId="0" fillId="3" borderId="2" xfId="0" applyFill="1" applyBorder="1" applyAlignment="1">
      <alignment horizontal="left"/>
    </xf>
    <xf numFmtId="164" fontId="0" fillId="3" borderId="0" xfId="0" applyNumberFormat="1" applyFill="1"/>
    <xf numFmtId="0" fontId="0" fillId="3" borderId="3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164" fontId="0" fillId="3" borderId="8" xfId="0" applyNumberFormat="1" applyFill="1" applyBorder="1"/>
    <xf numFmtId="165" fontId="0" fillId="3" borderId="2" xfId="0" applyNumberFormat="1" applyFill="1" applyBorder="1" applyAlignment="1">
      <alignment horizontal="left"/>
    </xf>
    <xf numFmtId="2" fontId="0" fillId="5" borderId="2" xfId="0" applyNumberFormat="1" applyFill="1" applyBorder="1" applyAlignment="1">
      <alignment horizontal="left"/>
    </xf>
    <xf numFmtId="0" fontId="1" fillId="6" borderId="1" xfId="0" applyFont="1" applyFill="1" applyBorder="1"/>
    <xf numFmtId="0" fontId="1" fillId="6" borderId="2" xfId="0" applyFont="1" applyFill="1" applyBorder="1"/>
    <xf numFmtId="0" fontId="0" fillId="2" borderId="9" xfId="0" applyFill="1" applyBorder="1"/>
    <xf numFmtId="0" fontId="0" fillId="2" borderId="10" xfId="0" applyFill="1" applyBorder="1"/>
    <xf numFmtId="164" fontId="0" fillId="3" borderId="4" xfId="0" applyNumberFormat="1" applyFill="1" applyBorder="1"/>
    <xf numFmtId="164" fontId="0" fillId="3" borderId="2" xfId="0" applyNumberFormat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38100</xdr:rowOff>
    </xdr:from>
    <xdr:to>
      <xdr:col>6</xdr:col>
      <xdr:colOff>0</xdr:colOff>
      <xdr:row>9</xdr:row>
      <xdr:rowOff>25400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B1BC606-4C05-6841-97A7-EDE6EBA745D6}"/>
            </a:ext>
          </a:extLst>
        </xdr:cNvPr>
        <xdr:cNvCxnSpPr/>
      </xdr:nvCxnSpPr>
      <xdr:spPr>
        <a:xfrm flipV="1">
          <a:off x="4140200" y="1460500"/>
          <a:ext cx="8128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5</xdr:row>
      <xdr:rowOff>0</xdr:rowOff>
    </xdr:from>
    <xdr:to>
      <xdr:col>8</xdr:col>
      <xdr:colOff>0</xdr:colOff>
      <xdr:row>6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E1BAF8E-1860-7A43-B3A2-EA24E37BBCBE}"/>
            </a:ext>
          </a:extLst>
        </xdr:cNvPr>
        <xdr:cNvCxnSpPr/>
      </xdr:nvCxnSpPr>
      <xdr:spPr>
        <a:xfrm flipV="1">
          <a:off x="5791200" y="1016000"/>
          <a:ext cx="8128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</xdr:row>
      <xdr:rowOff>25400</xdr:rowOff>
    </xdr:from>
    <xdr:to>
      <xdr:col>9</xdr:col>
      <xdr:colOff>444500</xdr:colOff>
      <xdr:row>5</xdr:row>
      <xdr:rowOff>12700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95D9F89-8738-784C-B71D-8BD8105A76F3}"/>
            </a:ext>
          </a:extLst>
        </xdr:cNvPr>
        <xdr:cNvCxnSpPr/>
      </xdr:nvCxnSpPr>
      <xdr:spPr>
        <a:xfrm flipV="1">
          <a:off x="7429500" y="6350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25400</xdr:rowOff>
    </xdr:from>
    <xdr:to>
      <xdr:col>10</xdr:col>
      <xdr:colOff>0</xdr:colOff>
      <xdr:row>9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F41E64A-6D7D-EF40-A8C0-1D8491B83AC3}"/>
            </a:ext>
          </a:extLst>
        </xdr:cNvPr>
        <xdr:cNvCxnSpPr/>
      </xdr:nvCxnSpPr>
      <xdr:spPr>
        <a:xfrm flipV="1">
          <a:off x="7442200" y="1447800"/>
          <a:ext cx="8128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12507</xdr:colOff>
      <xdr:row>9</xdr:row>
      <xdr:rowOff>12506</xdr:rowOff>
    </xdr:from>
    <xdr:to>
      <xdr:col>7</xdr:col>
      <xdr:colOff>457523</xdr:colOff>
      <xdr:row>10</xdr:row>
      <xdr:rowOff>206100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635F859-5534-5947-8D26-6B7433099D11}"/>
            </a:ext>
          </a:extLst>
        </xdr:cNvPr>
        <xdr:cNvCxnSpPr/>
      </xdr:nvCxnSpPr>
      <xdr:spPr>
        <a:xfrm flipV="1">
          <a:off x="5791007" y="1841306"/>
          <a:ext cx="445016" cy="3967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11</xdr:row>
      <xdr:rowOff>25400</xdr:rowOff>
    </xdr:from>
    <xdr:to>
      <xdr:col>10</xdr:col>
      <xdr:colOff>0</xdr:colOff>
      <xdr:row>13</xdr:row>
      <xdr:rowOff>12700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5D00742-61FE-0648-8F55-A59FC58BE8C2}"/>
            </a:ext>
          </a:extLst>
        </xdr:cNvPr>
        <xdr:cNvCxnSpPr/>
      </xdr:nvCxnSpPr>
      <xdr:spPr>
        <a:xfrm flipV="1">
          <a:off x="7442200" y="2260600"/>
          <a:ext cx="8128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12506</xdr:colOff>
      <xdr:row>9</xdr:row>
      <xdr:rowOff>18953</xdr:rowOff>
    </xdr:from>
    <xdr:to>
      <xdr:col>5</xdr:col>
      <xdr:colOff>457522</xdr:colOff>
      <xdr:row>11</xdr:row>
      <xdr:rowOff>6253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E375970-9EA5-9443-8479-86567AC740CF}"/>
            </a:ext>
          </a:extLst>
        </xdr:cNvPr>
        <xdr:cNvCxnSpPr/>
      </xdr:nvCxnSpPr>
      <xdr:spPr>
        <a:xfrm>
          <a:off x="4140006" y="1847753"/>
          <a:ext cx="445016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10184</xdr:colOff>
      <xdr:row>11</xdr:row>
      <xdr:rowOff>10185</xdr:rowOff>
    </xdr:from>
    <xdr:to>
      <xdr:col>7</xdr:col>
      <xdr:colOff>455200</xdr:colOff>
      <xdr:row>12</xdr:row>
      <xdr:rowOff>203780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85E8DD6-CCF3-7C47-905B-DC449E452AD4}"/>
            </a:ext>
          </a:extLst>
        </xdr:cNvPr>
        <xdr:cNvCxnSpPr/>
      </xdr:nvCxnSpPr>
      <xdr:spPr>
        <a:xfrm>
          <a:off x="5788684" y="2245385"/>
          <a:ext cx="445016" cy="39679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14311</xdr:colOff>
      <xdr:row>6</xdr:row>
      <xdr:rowOff>194819</xdr:rowOff>
    </xdr:from>
    <xdr:to>
      <xdr:col>8</xdr:col>
      <xdr:colOff>1611</xdr:colOff>
      <xdr:row>8</xdr:row>
      <xdr:rowOff>182119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7F7FE39-E876-9749-ADA3-3CF76B3FA512}"/>
            </a:ext>
          </a:extLst>
        </xdr:cNvPr>
        <xdr:cNvCxnSpPr/>
      </xdr:nvCxnSpPr>
      <xdr:spPr>
        <a:xfrm>
          <a:off x="5792811" y="1414019"/>
          <a:ext cx="8128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11990</xdr:colOff>
      <xdr:row>5</xdr:row>
      <xdr:rowOff>11991</xdr:rowOff>
    </xdr:from>
    <xdr:to>
      <xdr:col>9</xdr:col>
      <xdr:colOff>457006</xdr:colOff>
      <xdr:row>6</xdr:row>
      <xdr:rowOff>205585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86DF7C2-DDD7-2047-8962-D99AAD672B71}"/>
            </a:ext>
          </a:extLst>
        </xdr:cNvPr>
        <xdr:cNvCxnSpPr/>
      </xdr:nvCxnSpPr>
      <xdr:spPr>
        <a:xfrm>
          <a:off x="7441490" y="1027991"/>
          <a:ext cx="445016" cy="396794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3223</xdr:colOff>
      <xdr:row>9</xdr:row>
      <xdr:rowOff>16117</xdr:rowOff>
    </xdr:from>
    <xdr:to>
      <xdr:col>9</xdr:col>
      <xdr:colOff>448239</xdr:colOff>
      <xdr:row>11</xdr:row>
      <xdr:rowOff>3417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9A2D6AE-2319-C44B-8D69-17EA28DACEDD}"/>
            </a:ext>
          </a:extLst>
        </xdr:cNvPr>
        <xdr:cNvCxnSpPr/>
      </xdr:nvCxnSpPr>
      <xdr:spPr>
        <a:xfrm>
          <a:off x="7432723" y="1844917"/>
          <a:ext cx="445016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7348</xdr:colOff>
      <xdr:row>13</xdr:row>
      <xdr:rowOff>13795</xdr:rowOff>
    </xdr:from>
    <xdr:to>
      <xdr:col>9</xdr:col>
      <xdr:colOff>452364</xdr:colOff>
      <xdr:row>15</xdr:row>
      <xdr:rowOff>1095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33D275F-D390-0C40-B1C9-57CF901AC366}"/>
            </a:ext>
          </a:extLst>
        </xdr:cNvPr>
        <xdr:cNvCxnSpPr/>
      </xdr:nvCxnSpPr>
      <xdr:spPr>
        <a:xfrm>
          <a:off x="7436848" y="2655395"/>
          <a:ext cx="445016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8</xdr:row>
      <xdr:rowOff>38100</xdr:rowOff>
    </xdr:from>
    <xdr:to>
      <xdr:col>6</xdr:col>
      <xdr:colOff>0</xdr:colOff>
      <xdr:row>10</xdr:row>
      <xdr:rowOff>25400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1CB29-5DE3-7106-0273-62181B586F87}"/>
            </a:ext>
          </a:extLst>
        </xdr:cNvPr>
        <xdr:cNvCxnSpPr/>
      </xdr:nvCxnSpPr>
      <xdr:spPr>
        <a:xfrm flipV="1">
          <a:off x="1663700" y="41021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6</xdr:row>
      <xdr:rowOff>0</xdr:rowOff>
    </xdr:from>
    <xdr:to>
      <xdr:col>8</xdr:col>
      <xdr:colOff>0</xdr:colOff>
      <xdr:row>7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63C3025-CFCF-E74C-945E-87EF0B402BDC}"/>
            </a:ext>
          </a:extLst>
        </xdr:cNvPr>
        <xdr:cNvCxnSpPr/>
      </xdr:nvCxnSpPr>
      <xdr:spPr>
        <a:xfrm flipV="1">
          <a:off x="2705100" y="36576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25400</xdr:rowOff>
    </xdr:from>
    <xdr:to>
      <xdr:col>9</xdr:col>
      <xdr:colOff>444500</xdr:colOff>
      <xdr:row>6</xdr:row>
      <xdr:rowOff>12700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05E1227-000A-064A-B3F3-5FDF5AA9933F}"/>
            </a:ext>
          </a:extLst>
        </xdr:cNvPr>
        <xdr:cNvCxnSpPr/>
      </xdr:nvCxnSpPr>
      <xdr:spPr>
        <a:xfrm flipV="1">
          <a:off x="3733800" y="32766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8</xdr:row>
      <xdr:rowOff>25400</xdr:rowOff>
    </xdr:from>
    <xdr:to>
      <xdr:col>10</xdr:col>
      <xdr:colOff>0</xdr:colOff>
      <xdr:row>10</xdr:row>
      <xdr:rowOff>12700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60449EB-C3C5-8B40-8A1E-91EFD957E4AA}"/>
            </a:ext>
          </a:extLst>
        </xdr:cNvPr>
        <xdr:cNvCxnSpPr/>
      </xdr:nvCxnSpPr>
      <xdr:spPr>
        <a:xfrm flipV="1">
          <a:off x="3746500" y="40894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12507</xdr:colOff>
      <xdr:row>10</xdr:row>
      <xdr:rowOff>12506</xdr:rowOff>
    </xdr:from>
    <xdr:to>
      <xdr:col>7</xdr:col>
      <xdr:colOff>457523</xdr:colOff>
      <xdr:row>11</xdr:row>
      <xdr:rowOff>206100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510C4DC-34B2-B749-8DEF-D560A3A88D9B}"/>
            </a:ext>
          </a:extLst>
        </xdr:cNvPr>
        <xdr:cNvCxnSpPr/>
      </xdr:nvCxnSpPr>
      <xdr:spPr>
        <a:xfrm flipV="1">
          <a:off x="2707228" y="4550983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12</xdr:row>
      <xdr:rowOff>25400</xdr:rowOff>
    </xdr:from>
    <xdr:to>
      <xdr:col>10</xdr:col>
      <xdr:colOff>0</xdr:colOff>
      <xdr:row>14</xdr:row>
      <xdr:rowOff>12700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D24D1D3-6F4E-C548-9616-6F3DA5D2B848}"/>
            </a:ext>
          </a:extLst>
        </xdr:cNvPr>
        <xdr:cNvCxnSpPr/>
      </xdr:nvCxnSpPr>
      <xdr:spPr>
        <a:xfrm flipV="1">
          <a:off x="3746500" y="4902200"/>
          <a:ext cx="444500" cy="3937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12506</xdr:colOff>
      <xdr:row>10</xdr:row>
      <xdr:rowOff>18953</xdr:rowOff>
    </xdr:from>
    <xdr:to>
      <xdr:col>5</xdr:col>
      <xdr:colOff>457522</xdr:colOff>
      <xdr:row>12</xdr:row>
      <xdr:rowOff>6253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141289E-2126-5545-AB40-2C5DDCA5F6AD}"/>
            </a:ext>
          </a:extLst>
        </xdr:cNvPr>
        <xdr:cNvCxnSpPr/>
      </xdr:nvCxnSpPr>
      <xdr:spPr>
        <a:xfrm>
          <a:off x="1662861" y="455743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10184</xdr:colOff>
      <xdr:row>12</xdr:row>
      <xdr:rowOff>10185</xdr:rowOff>
    </xdr:from>
    <xdr:to>
      <xdr:col>7</xdr:col>
      <xdr:colOff>455200</xdr:colOff>
      <xdr:row>13</xdr:row>
      <xdr:rowOff>203780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CF3F24-C601-7348-BA76-AC6FC629593E}"/>
            </a:ext>
          </a:extLst>
        </xdr:cNvPr>
        <xdr:cNvCxnSpPr/>
      </xdr:nvCxnSpPr>
      <xdr:spPr>
        <a:xfrm>
          <a:off x="2704905" y="4961251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14311</xdr:colOff>
      <xdr:row>7</xdr:row>
      <xdr:rowOff>194819</xdr:rowOff>
    </xdr:from>
    <xdr:to>
      <xdr:col>8</xdr:col>
      <xdr:colOff>1611</xdr:colOff>
      <xdr:row>9</xdr:row>
      <xdr:rowOff>182119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B3AB4F0-AAB5-F24B-BD15-CEDC370FE7AB}"/>
            </a:ext>
          </a:extLst>
        </xdr:cNvPr>
        <xdr:cNvCxnSpPr/>
      </xdr:nvCxnSpPr>
      <xdr:spPr>
        <a:xfrm>
          <a:off x="2709032" y="4114413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11990</xdr:colOff>
      <xdr:row>6</xdr:row>
      <xdr:rowOff>11991</xdr:rowOff>
    </xdr:from>
    <xdr:to>
      <xdr:col>9</xdr:col>
      <xdr:colOff>457006</xdr:colOff>
      <xdr:row>7</xdr:row>
      <xdr:rowOff>205585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334F396-5DFA-4945-A444-5D4AA6779183}"/>
            </a:ext>
          </a:extLst>
        </xdr:cNvPr>
        <xdr:cNvCxnSpPr/>
      </xdr:nvCxnSpPr>
      <xdr:spPr>
        <a:xfrm>
          <a:off x="3751076" y="372529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3223</xdr:colOff>
      <xdr:row>10</xdr:row>
      <xdr:rowOff>16117</xdr:rowOff>
    </xdr:from>
    <xdr:to>
      <xdr:col>9</xdr:col>
      <xdr:colOff>448239</xdr:colOff>
      <xdr:row>12</xdr:row>
      <xdr:rowOff>3417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C03A4B1-313E-1A43-A8B6-89E0D4C53560}"/>
            </a:ext>
          </a:extLst>
        </xdr:cNvPr>
        <xdr:cNvCxnSpPr/>
      </xdr:nvCxnSpPr>
      <xdr:spPr>
        <a:xfrm>
          <a:off x="3742309" y="4554594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7348</xdr:colOff>
      <xdr:row>14</xdr:row>
      <xdr:rowOff>13795</xdr:rowOff>
    </xdr:from>
    <xdr:to>
      <xdr:col>9</xdr:col>
      <xdr:colOff>452364</xdr:colOff>
      <xdr:row>16</xdr:row>
      <xdr:rowOff>1095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8B5E9D-D9F0-C341-9296-4AAE730D68BA}"/>
            </a:ext>
          </a:extLst>
        </xdr:cNvPr>
        <xdr:cNvCxnSpPr/>
      </xdr:nvCxnSpPr>
      <xdr:spPr>
        <a:xfrm>
          <a:off x="3746434" y="5377450"/>
          <a:ext cx="445016" cy="399889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D781-8C83-9545-A17D-30AC986701AE}">
  <dimension ref="B3:K16"/>
  <sheetViews>
    <sheetView zoomScaleNormal="100" workbookViewId="0">
      <selection activeCell="L17" sqref="L17"/>
    </sheetView>
  </sheetViews>
  <sheetFormatPr baseColWidth="10" defaultRowHeight="16" x14ac:dyDescent="0.2"/>
  <cols>
    <col min="1" max="1" width="4.5" style="1" customWidth="1"/>
    <col min="2" max="2" width="9" style="1" customWidth="1"/>
    <col min="3" max="3" width="7.33203125" style="1" customWidth="1"/>
    <col min="4" max="4" width="7" style="1" customWidth="1"/>
    <col min="5" max="5" width="10.83203125" style="1"/>
    <col min="6" max="6" width="6" style="1" customWidth="1"/>
    <col min="7" max="7" width="7.6640625" style="1" customWidth="1"/>
    <col min="8" max="8" width="6" style="1" customWidth="1"/>
    <col min="9" max="9" width="7.6640625" style="1" customWidth="1"/>
    <col min="10" max="10" width="6" style="1" customWidth="1"/>
    <col min="11" max="11" width="7.6640625" style="1" customWidth="1"/>
    <col min="12" max="16384" width="10.83203125" style="1"/>
  </cols>
  <sheetData>
    <row r="3" spans="2:11" ht="18" x14ac:dyDescent="0.25">
      <c r="K3" s="3" t="s">
        <v>10</v>
      </c>
    </row>
    <row r="4" spans="2:11" x14ac:dyDescent="0.2">
      <c r="K4" s="17">
        <f>I6*$C$6</f>
        <v>73.649159107599985</v>
      </c>
    </row>
    <row r="5" spans="2:11" ht="18" x14ac:dyDescent="0.25">
      <c r="B5" s="10" t="s">
        <v>3</v>
      </c>
      <c r="C5" s="11">
        <v>50</v>
      </c>
      <c r="I5" s="3" t="s">
        <v>7</v>
      </c>
    </row>
    <row r="6" spans="2:11" x14ac:dyDescent="0.2">
      <c r="B6" s="12" t="s">
        <v>1</v>
      </c>
      <c r="C6" s="13">
        <v>1.1377999999999999</v>
      </c>
      <c r="I6" s="16">
        <f>G8*$C$6</f>
        <v>64.729441999999992</v>
      </c>
      <c r="J6" s="2"/>
    </row>
    <row r="7" spans="2:11" ht="18" x14ac:dyDescent="0.25">
      <c r="G7" s="3" t="s">
        <v>5</v>
      </c>
      <c r="K7" s="3" t="s">
        <v>0</v>
      </c>
    </row>
    <row r="8" spans="2:11" x14ac:dyDescent="0.2">
      <c r="B8" s="14" t="s">
        <v>2</v>
      </c>
      <c r="C8" s="15">
        <f>1/C6</f>
        <v>0.87888908419757428</v>
      </c>
      <c r="G8" s="16">
        <f>E10*$C$6</f>
        <v>56.889999999999993</v>
      </c>
      <c r="H8" s="2"/>
      <c r="K8" s="17">
        <f>I6*$C$8</f>
        <v>56.889999999999993</v>
      </c>
    </row>
    <row r="9" spans="2:11" ht="18" x14ac:dyDescent="0.25">
      <c r="E9" s="3" t="s">
        <v>4</v>
      </c>
      <c r="I9" s="3" t="s">
        <v>8</v>
      </c>
    </row>
    <row r="10" spans="2:11" x14ac:dyDescent="0.2">
      <c r="E10" s="5">
        <f>C5</f>
        <v>50</v>
      </c>
      <c r="F10" s="2"/>
      <c r="I10" s="16">
        <f>G8*$C$8</f>
        <v>49.999999999999993</v>
      </c>
      <c r="J10" s="2"/>
    </row>
    <row r="11" spans="2:11" ht="18" x14ac:dyDescent="0.25">
      <c r="G11" s="3" t="s">
        <v>6</v>
      </c>
      <c r="K11" s="3" t="s">
        <v>11</v>
      </c>
    </row>
    <row r="12" spans="2:11" x14ac:dyDescent="0.2">
      <c r="G12" s="16">
        <f>E10*$C$8</f>
        <v>43.944454209878714</v>
      </c>
      <c r="H12" s="2"/>
      <c r="K12" s="17">
        <f>I10*$C$8</f>
        <v>43.944454209878707</v>
      </c>
    </row>
    <row r="13" spans="2:11" ht="18" x14ac:dyDescent="0.25">
      <c r="I13" s="3" t="s">
        <v>9</v>
      </c>
    </row>
    <row r="14" spans="2:11" x14ac:dyDescent="0.2">
      <c r="I14" s="16">
        <f>G12*$C$8</f>
        <v>38.622301116082539</v>
      </c>
      <c r="J14" s="2"/>
    </row>
    <row r="15" spans="2:11" ht="18" x14ac:dyDescent="0.25">
      <c r="K15" s="3" t="s">
        <v>12</v>
      </c>
    </row>
    <row r="16" spans="2:11" x14ac:dyDescent="0.2">
      <c r="K16" s="17">
        <f>I14*$C$8</f>
        <v>33.944718857516733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AC32-DFBC-0849-8142-CC48F5027EF1}">
  <dimension ref="B2:M19"/>
  <sheetViews>
    <sheetView tabSelected="1" zoomScaleNormal="100" workbookViewId="0">
      <selection activeCell="C21" sqref="C21"/>
    </sheetView>
  </sheetViews>
  <sheetFormatPr baseColWidth="10" defaultRowHeight="16" x14ac:dyDescent="0.2"/>
  <cols>
    <col min="1" max="1" width="4.5" style="1" customWidth="1"/>
    <col min="2" max="2" width="6.33203125" style="1" customWidth="1"/>
    <col min="3" max="3" width="8.33203125" style="1" customWidth="1"/>
    <col min="4" max="4" width="7" style="1" customWidth="1"/>
    <col min="5" max="5" width="10.83203125" style="1"/>
    <col min="6" max="6" width="6" style="1" customWidth="1"/>
    <col min="7" max="7" width="7.6640625" style="1" customWidth="1"/>
    <col min="8" max="8" width="6" style="1" customWidth="1"/>
    <col min="9" max="9" width="7.6640625" style="1" customWidth="1"/>
    <col min="10" max="10" width="6" style="1" customWidth="1"/>
    <col min="11" max="11" width="7.6640625" style="1" customWidth="1"/>
    <col min="12" max="12" width="10.83203125" style="1"/>
    <col min="13" max="13" width="11.83203125" style="1" customWidth="1"/>
    <col min="14" max="16384" width="10.83203125" style="1"/>
  </cols>
  <sheetData>
    <row r="2" spans="2:13" x14ac:dyDescent="0.2">
      <c r="M2" s="18" t="s">
        <v>26</v>
      </c>
    </row>
    <row r="3" spans="2:13" x14ac:dyDescent="0.2">
      <c r="M3" s="19" t="s">
        <v>27</v>
      </c>
    </row>
    <row r="4" spans="2:13" ht="18" x14ac:dyDescent="0.25">
      <c r="K4" s="3" t="s">
        <v>20</v>
      </c>
      <c r="M4" s="4"/>
    </row>
    <row r="5" spans="2:13" x14ac:dyDescent="0.2">
      <c r="K5" s="17">
        <f>MAX(0,Price!K4-Option!$C$7)</f>
        <v>28.649159107599985</v>
      </c>
      <c r="M5" s="23">
        <f>C13^3</f>
        <v>0.1155942697088839</v>
      </c>
    </row>
    <row r="6" spans="2:13" ht="18" x14ac:dyDescent="0.25">
      <c r="B6" s="10" t="s">
        <v>3</v>
      </c>
      <c r="C6" s="11">
        <v>50</v>
      </c>
      <c r="I6" s="3" t="s">
        <v>17</v>
      </c>
      <c r="M6" s="6"/>
    </row>
    <row r="7" spans="2:13" x14ac:dyDescent="0.2">
      <c r="B7" s="20" t="s">
        <v>25</v>
      </c>
      <c r="C7" s="21">
        <v>45</v>
      </c>
      <c r="I7" s="16"/>
      <c r="J7" s="2"/>
      <c r="M7" s="6"/>
    </row>
    <row r="8" spans="2:13" ht="18" x14ac:dyDescent="0.25">
      <c r="B8" s="20" t="s">
        <v>1</v>
      </c>
      <c r="C8" s="21">
        <v>1.1377999999999999</v>
      </c>
      <c r="G8" s="3" t="s">
        <v>15</v>
      </c>
      <c r="K8" s="3" t="s">
        <v>13</v>
      </c>
      <c r="M8" s="24"/>
    </row>
    <row r="9" spans="2:13" x14ac:dyDescent="0.2">
      <c r="B9" s="12" t="s">
        <v>24</v>
      </c>
      <c r="C9" s="13">
        <v>1.4999999999999999E-2</v>
      </c>
      <c r="G9" s="16"/>
      <c r="H9" s="2"/>
      <c r="K9" s="17">
        <f>MAX(0,Price!K8-Option!$C$7)</f>
        <v>11.889999999999993</v>
      </c>
      <c r="M9" s="23">
        <f>3*(1-C13)*C13^2</f>
        <v>0.36510593313987039</v>
      </c>
    </row>
    <row r="10" spans="2:13" ht="18" x14ac:dyDescent="0.25">
      <c r="E10" s="3" t="s">
        <v>14</v>
      </c>
      <c r="I10" s="3" t="s">
        <v>18</v>
      </c>
      <c r="M10" s="6"/>
    </row>
    <row r="11" spans="2:13" x14ac:dyDescent="0.2">
      <c r="E11" s="17">
        <f>(M5*K5+M9*K9+M13*K13+M17*K17)*EXP(-1*C9)</f>
        <v>7.5388529973720066</v>
      </c>
      <c r="F11" s="2"/>
      <c r="I11" s="16"/>
      <c r="J11" s="2"/>
      <c r="M11" s="6"/>
    </row>
    <row r="12" spans="2:13" ht="18" x14ac:dyDescent="0.25">
      <c r="B12" s="7" t="s">
        <v>2</v>
      </c>
      <c r="C12" s="22">
        <f>1/C8</f>
        <v>0.87888908419757428</v>
      </c>
      <c r="G12" s="3" t="s">
        <v>16</v>
      </c>
      <c r="K12" s="3" t="s">
        <v>21</v>
      </c>
      <c r="M12" s="4"/>
    </row>
    <row r="13" spans="2:13" x14ac:dyDescent="0.2">
      <c r="B13" s="8" t="s">
        <v>23</v>
      </c>
      <c r="C13" s="9">
        <f>(EXP(C9/3)-C12)/(C8-C12)</f>
        <v>0.48713062665179863</v>
      </c>
      <c r="G13" s="16"/>
      <c r="H13" s="2"/>
      <c r="K13" s="17">
        <f>MAX(0,Price!K12-Option!$C$7)</f>
        <v>0</v>
      </c>
      <c r="M13" s="23">
        <f>3*(1-C13)^2*C13</f>
        <v>0.38439720454900345</v>
      </c>
    </row>
    <row r="14" spans="2:13" ht="18" x14ac:dyDescent="0.25">
      <c r="I14" s="3" t="s">
        <v>19</v>
      </c>
      <c r="M14" s="6"/>
    </row>
    <row r="15" spans="2:13" x14ac:dyDescent="0.2">
      <c r="I15" s="16"/>
      <c r="J15" s="2"/>
      <c r="M15" s="6"/>
    </row>
    <row r="16" spans="2:13" ht="18" x14ac:dyDescent="0.25">
      <c r="K16" s="3" t="s">
        <v>22</v>
      </c>
      <c r="M16" s="4"/>
    </row>
    <row r="17" spans="11:13" x14ac:dyDescent="0.2">
      <c r="K17" s="17">
        <f>MAX(0,Price!K16-Option!$C$7)</f>
        <v>0</v>
      </c>
      <c r="M17" s="23">
        <f>(1-C13)^3</f>
        <v>0.1349025926022423</v>
      </c>
    </row>
    <row r="18" spans="11:13" x14ac:dyDescent="0.2">
      <c r="M18" s="6"/>
    </row>
    <row r="19" spans="11:13" x14ac:dyDescent="0.2">
      <c r="M19" s="6">
        <f>SUM(M5:M17)</f>
        <v>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Norli, Øyvind</dc:creator>
  <cp:lastModifiedBy>Norli, Øyvind</cp:lastModifiedBy>
  <dcterms:created xsi:type="dcterms:W3CDTF">2023-11-06T08:38:15Z</dcterms:created>
  <dcterms:modified xsi:type="dcterms:W3CDTF">2026-10-30T09:56:36Z</dcterms:modified>
</cp:coreProperties>
</file>