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90674781-0C8E-1443-8C76-CF0C4628A953}" xr6:coauthVersionLast="47" xr6:coauthVersionMax="47" xr10:uidLastSave="{00000000-0000-0000-0000-000000000000}"/>
  <bookViews>
    <workbookView xWindow="2440" yWindow="960" windowWidth="30860" windowHeight="19660" xr2:uid="{576FED04-51EF-B941-9509-7287B3CC88A6}"/>
  </bookViews>
  <sheets>
    <sheet name="Booklet BS" sheetId="7" r:id="rId1"/>
    <sheet name="Binomial n steps" sheetId="8" r:id="rId2"/>
    <sheet name="Black-Scho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2" i="8" l="1"/>
  <c r="I72" i="8"/>
  <c r="K71" i="8"/>
  <c r="I71" i="8"/>
  <c r="K70" i="8"/>
  <c r="I70" i="8"/>
  <c r="M69" i="8"/>
  <c r="K69" i="8"/>
  <c r="I69" i="8"/>
  <c r="M68" i="8"/>
  <c r="N68" i="8" s="1"/>
  <c r="K68" i="8"/>
  <c r="I68" i="8"/>
  <c r="K67" i="8"/>
  <c r="I67" i="8"/>
  <c r="M66" i="8"/>
  <c r="K66" i="8"/>
  <c r="I66" i="8"/>
  <c r="M65" i="8"/>
  <c r="K65" i="8"/>
  <c r="I65" i="8"/>
  <c r="K64" i="8"/>
  <c r="I64" i="8"/>
  <c r="K63" i="8"/>
  <c r="I63" i="8"/>
  <c r="K62" i="8"/>
  <c r="I62" i="8"/>
  <c r="K61" i="8"/>
  <c r="I61" i="8"/>
  <c r="K60" i="8"/>
  <c r="I60" i="8"/>
  <c r="K59" i="8"/>
  <c r="I59" i="8"/>
  <c r="K58" i="8"/>
  <c r="I58" i="8"/>
  <c r="K57" i="8"/>
  <c r="I57" i="8"/>
  <c r="K56" i="8"/>
  <c r="I56" i="8"/>
  <c r="K55" i="8"/>
  <c r="I55" i="8"/>
  <c r="K54" i="8"/>
  <c r="I54" i="8"/>
  <c r="K53" i="8"/>
  <c r="I53" i="8"/>
  <c r="K52" i="8"/>
  <c r="I52" i="8"/>
  <c r="K51" i="8"/>
  <c r="I51" i="8"/>
  <c r="K50" i="8"/>
  <c r="I50" i="8"/>
  <c r="K49" i="8"/>
  <c r="I49" i="8"/>
  <c r="K48" i="8"/>
  <c r="I48" i="8"/>
  <c r="K47" i="8"/>
  <c r="I47" i="8"/>
  <c r="K46" i="8"/>
  <c r="I46" i="8"/>
  <c r="K45" i="8"/>
  <c r="I45" i="8"/>
  <c r="K44" i="8"/>
  <c r="I44" i="8"/>
  <c r="K43" i="8"/>
  <c r="I43" i="8"/>
  <c r="K42" i="8"/>
  <c r="I42" i="8"/>
  <c r="K41" i="8"/>
  <c r="I41" i="8"/>
  <c r="K40" i="8"/>
  <c r="I40" i="8"/>
  <c r="K39" i="8"/>
  <c r="I39" i="8"/>
  <c r="K38" i="8"/>
  <c r="I38" i="8"/>
  <c r="K37" i="8"/>
  <c r="I37" i="8"/>
  <c r="K36" i="8"/>
  <c r="I36" i="8"/>
  <c r="K35" i="8"/>
  <c r="I35" i="8"/>
  <c r="K34" i="8"/>
  <c r="I34" i="8"/>
  <c r="K33" i="8"/>
  <c r="I33" i="8"/>
  <c r="K32" i="8"/>
  <c r="I32" i="8"/>
  <c r="K31" i="8"/>
  <c r="I31" i="8"/>
  <c r="K30" i="8"/>
  <c r="I30" i="8"/>
  <c r="K29" i="8"/>
  <c r="I29" i="8"/>
  <c r="K28" i="8"/>
  <c r="I28" i="8"/>
  <c r="K27" i="8"/>
  <c r="I27" i="8"/>
  <c r="K26" i="8"/>
  <c r="I26" i="8"/>
  <c r="K25" i="8"/>
  <c r="I25" i="8"/>
  <c r="K24" i="8"/>
  <c r="I24" i="8"/>
  <c r="M22" i="8"/>
  <c r="K22" i="8"/>
  <c r="I22" i="8"/>
  <c r="M23" i="8"/>
  <c r="N23" i="8" s="1"/>
  <c r="K23" i="8"/>
  <c r="I23" i="8"/>
  <c r="H24" i="8"/>
  <c r="H23" i="8"/>
  <c r="E25" i="8"/>
  <c r="M10" i="8"/>
  <c r="M9" i="8"/>
  <c r="M8" i="8"/>
  <c r="M7" i="8"/>
  <c r="M6" i="8"/>
  <c r="M5" i="8"/>
  <c r="K10" i="8"/>
  <c r="K9" i="8"/>
  <c r="K8" i="8"/>
  <c r="K7" i="8"/>
  <c r="K6" i="8"/>
  <c r="K5" i="8"/>
  <c r="I10" i="8"/>
  <c r="I9" i="8"/>
  <c r="I8" i="8"/>
  <c r="I7" i="8"/>
  <c r="I6" i="8"/>
  <c r="I5" i="8"/>
  <c r="E9" i="8"/>
  <c r="B5" i="7"/>
  <c r="C5" i="7" s="1"/>
  <c r="H25" i="8" l="1"/>
  <c r="M24" i="8"/>
  <c r="N24" i="8" s="1"/>
  <c r="E26" i="8"/>
  <c r="E27" i="8" s="1"/>
  <c r="J33" i="8"/>
  <c r="L33" i="8" s="1"/>
  <c r="J64" i="8"/>
  <c r="L64" i="8" s="1"/>
  <c r="J35" i="8"/>
  <c r="L35" i="8" s="1"/>
  <c r="J31" i="8"/>
  <c r="L31" i="8" s="1"/>
  <c r="J44" i="8"/>
  <c r="L44" i="8" s="1"/>
  <c r="J30" i="8"/>
  <c r="L30" i="8" s="1"/>
  <c r="J45" i="8"/>
  <c r="L45" i="8" s="1"/>
  <c r="J62" i="8"/>
  <c r="L62" i="8" s="1"/>
  <c r="J70" i="8"/>
  <c r="L70" i="8" s="1"/>
  <c r="J46" i="8"/>
  <c r="L46" i="8" s="1"/>
  <c r="J47" i="8"/>
  <c r="L47" i="8" s="1"/>
  <c r="J28" i="8"/>
  <c r="L28" i="8" s="1"/>
  <c r="J27" i="8"/>
  <c r="L27" i="8" s="1"/>
  <c r="J48" i="8"/>
  <c r="L48" i="8" s="1"/>
  <c r="J26" i="8"/>
  <c r="L26" i="8" s="1"/>
  <c r="J50" i="8"/>
  <c r="L50" i="8" s="1"/>
  <c r="J25" i="8"/>
  <c r="L25" i="8" s="1"/>
  <c r="J24" i="8"/>
  <c r="L24" i="8" s="1"/>
  <c r="J51" i="8"/>
  <c r="L51" i="8" s="1"/>
  <c r="J22" i="8"/>
  <c r="L22" i="8" s="1"/>
  <c r="J54" i="8"/>
  <c r="L54" i="8" s="1"/>
  <c r="J69" i="8"/>
  <c r="L69" i="8" s="1"/>
  <c r="J66" i="8"/>
  <c r="L66" i="8" s="1"/>
  <c r="J65" i="8"/>
  <c r="L65" i="8" s="1"/>
  <c r="J49" i="8"/>
  <c r="L49" i="8" s="1"/>
  <c r="J52" i="8"/>
  <c r="L52" i="8" s="1"/>
  <c r="J43" i="8"/>
  <c r="L43" i="8" s="1"/>
  <c r="J53" i="8"/>
  <c r="L53" i="8" s="1"/>
  <c r="J42" i="8"/>
  <c r="L42" i="8" s="1"/>
  <c r="J55" i="8"/>
  <c r="L55" i="8" s="1"/>
  <c r="J41" i="8"/>
  <c r="L41" i="8" s="1"/>
  <c r="J56" i="8"/>
  <c r="L56" i="8" s="1"/>
  <c r="J40" i="8"/>
  <c r="L40" i="8" s="1"/>
  <c r="J57" i="8"/>
  <c r="L57" i="8" s="1"/>
  <c r="J39" i="8"/>
  <c r="L39" i="8" s="1"/>
  <c r="J58" i="8"/>
  <c r="L58" i="8" s="1"/>
  <c r="J38" i="8"/>
  <c r="L38" i="8" s="1"/>
  <c r="J59" i="8"/>
  <c r="L59" i="8" s="1"/>
  <c r="J37" i="8"/>
  <c r="L37" i="8" s="1"/>
  <c r="J60" i="8"/>
  <c r="L60" i="8" s="1"/>
  <c r="J36" i="8"/>
  <c r="L36" i="8" s="1"/>
  <c r="J34" i="8"/>
  <c r="L34" i="8" s="1"/>
  <c r="J29" i="8"/>
  <c r="L29" i="8" s="1"/>
  <c r="J23" i="8"/>
  <c r="L23" i="8" s="1"/>
  <c r="O23" i="8" s="1"/>
  <c r="J61" i="8"/>
  <c r="L61" i="8" s="1"/>
  <c r="J63" i="8"/>
  <c r="L63" i="8" s="1"/>
  <c r="J68" i="8"/>
  <c r="L68" i="8" s="1"/>
  <c r="J67" i="8"/>
  <c r="L67" i="8" s="1"/>
  <c r="J32" i="8"/>
  <c r="L32" i="8" s="1"/>
  <c r="O68" i="8"/>
  <c r="E10" i="8"/>
  <c r="B7" i="7"/>
  <c r="M25" i="8" l="1"/>
  <c r="N25" i="8" s="1"/>
  <c r="O25" i="8" s="1"/>
  <c r="H26" i="8"/>
  <c r="N66" i="8"/>
  <c r="O66" i="8" s="1"/>
  <c r="N65" i="8"/>
  <c r="O65" i="8" s="1"/>
  <c r="N22" i="8"/>
  <c r="N69" i="8"/>
  <c r="O69" i="8" s="1"/>
  <c r="O24" i="8"/>
  <c r="E11" i="8"/>
  <c r="J10" i="8"/>
  <c r="L10" i="8" s="1"/>
  <c r="J8" i="8"/>
  <c r="L8" i="8" s="1"/>
  <c r="J7" i="8"/>
  <c r="L7" i="8" s="1"/>
  <c r="J6" i="8"/>
  <c r="L6" i="8" s="1"/>
  <c r="J5" i="8"/>
  <c r="L5" i="8" s="1"/>
  <c r="J9" i="8"/>
  <c r="L9" i="8" s="1"/>
  <c r="D7" i="2"/>
  <c r="D9" i="2" s="1"/>
  <c r="D6" i="2"/>
  <c r="D5" i="2"/>
  <c r="D4" i="2"/>
  <c r="D3" i="2"/>
  <c r="M26" i="8" l="1"/>
  <c r="N26" i="8" s="1"/>
  <c r="O26" i="8" s="1"/>
  <c r="H27" i="8"/>
  <c r="O22" i="8"/>
  <c r="N10" i="8"/>
  <c r="O10" i="8" s="1"/>
  <c r="N9" i="8"/>
  <c r="O9" i="8" s="1"/>
  <c r="N8" i="8"/>
  <c r="O8" i="8" s="1"/>
  <c r="N7" i="8"/>
  <c r="O7" i="8" s="1"/>
  <c r="N6" i="8"/>
  <c r="O6" i="8" s="1"/>
  <c r="N5" i="8"/>
  <c r="D21" i="2"/>
  <c r="D11" i="2"/>
  <c r="D13" i="2"/>
  <c r="D12" i="2"/>
  <c r="M27" i="8" l="1"/>
  <c r="N27" i="8" s="1"/>
  <c r="H28" i="8"/>
  <c r="O5" i="8"/>
  <c r="O13" i="8" s="1"/>
  <c r="E13" i="8" s="1"/>
  <c r="N11" i="8"/>
  <c r="D15" i="2"/>
  <c r="D18" i="2" s="1"/>
  <c r="O27" i="8" l="1"/>
  <c r="M28" i="8"/>
  <c r="N28" i="8" s="1"/>
  <c r="H29" i="8"/>
  <c r="D16" i="2"/>
  <c r="D19" i="2" s="1"/>
  <c r="D24" i="2" s="1"/>
  <c r="D26" i="2" s="1"/>
  <c r="M29" i="8" l="1"/>
  <c r="N29" i="8" s="1"/>
  <c r="H30" i="8"/>
  <c r="O28" i="8"/>
  <c r="M30" i="8" l="1"/>
  <c r="N30" i="8" s="1"/>
  <c r="O30" i="8" s="1"/>
  <c r="H31" i="8"/>
  <c r="O29" i="8"/>
  <c r="M31" i="8" l="1"/>
  <c r="N31" i="8" s="1"/>
  <c r="O31" i="8" s="1"/>
  <c r="H32" i="8"/>
  <c r="M32" i="8" l="1"/>
  <c r="N32" i="8" s="1"/>
  <c r="O32" i="8" s="1"/>
  <c r="H33" i="8"/>
  <c r="M33" i="8" l="1"/>
  <c r="N33" i="8" s="1"/>
  <c r="O33" i="8" s="1"/>
  <c r="H34" i="8"/>
  <c r="M34" i="8" l="1"/>
  <c r="N34" i="8" s="1"/>
  <c r="O34" i="8" s="1"/>
  <c r="H35" i="8"/>
  <c r="M35" i="8" l="1"/>
  <c r="N35" i="8" s="1"/>
  <c r="O35" i="8" s="1"/>
  <c r="H36" i="8"/>
  <c r="M36" i="8" l="1"/>
  <c r="N36" i="8" s="1"/>
  <c r="O36" i="8" s="1"/>
  <c r="H37" i="8"/>
  <c r="M37" i="8" l="1"/>
  <c r="N37" i="8" s="1"/>
  <c r="O37" i="8" s="1"/>
  <c r="H38" i="8"/>
  <c r="M38" i="8" l="1"/>
  <c r="N38" i="8" s="1"/>
  <c r="O38" i="8" s="1"/>
  <c r="H39" i="8"/>
  <c r="M39" i="8" l="1"/>
  <c r="N39" i="8" s="1"/>
  <c r="O39" i="8" s="1"/>
  <c r="H40" i="8"/>
  <c r="M40" i="8" l="1"/>
  <c r="N40" i="8" s="1"/>
  <c r="O40" i="8" s="1"/>
  <c r="H41" i="8"/>
  <c r="M41" i="8" l="1"/>
  <c r="N41" i="8" s="1"/>
  <c r="O41" i="8" s="1"/>
  <c r="H42" i="8"/>
  <c r="M42" i="8" l="1"/>
  <c r="N42" i="8" s="1"/>
  <c r="O42" i="8" s="1"/>
  <c r="H43" i="8"/>
  <c r="M43" i="8" l="1"/>
  <c r="N43" i="8" s="1"/>
  <c r="O43" i="8" s="1"/>
  <c r="H44" i="8"/>
  <c r="M44" i="8" l="1"/>
  <c r="N44" i="8" s="1"/>
  <c r="O44" i="8" s="1"/>
  <c r="H45" i="8"/>
  <c r="M45" i="8" l="1"/>
  <c r="N45" i="8" s="1"/>
  <c r="O45" i="8" s="1"/>
  <c r="H46" i="8"/>
  <c r="M46" i="8" l="1"/>
  <c r="N46" i="8" s="1"/>
  <c r="O46" i="8" s="1"/>
  <c r="H47" i="8"/>
  <c r="M47" i="8" l="1"/>
  <c r="N47" i="8" s="1"/>
  <c r="O47" i="8" s="1"/>
  <c r="H48" i="8"/>
  <c r="M48" i="8" l="1"/>
  <c r="N48" i="8" s="1"/>
  <c r="O48" i="8" s="1"/>
  <c r="H49" i="8"/>
  <c r="M49" i="8" l="1"/>
  <c r="N49" i="8" s="1"/>
  <c r="O49" i="8" s="1"/>
  <c r="H50" i="8"/>
  <c r="M50" i="8" l="1"/>
  <c r="N50" i="8" s="1"/>
  <c r="O50" i="8" s="1"/>
  <c r="H51" i="8"/>
  <c r="M51" i="8" l="1"/>
  <c r="N51" i="8" s="1"/>
  <c r="O51" i="8" s="1"/>
  <c r="H52" i="8"/>
  <c r="M52" i="8" l="1"/>
  <c r="N52" i="8" s="1"/>
  <c r="O52" i="8" s="1"/>
  <c r="H53" i="8"/>
  <c r="M53" i="8" l="1"/>
  <c r="N53" i="8" s="1"/>
  <c r="O53" i="8" s="1"/>
  <c r="H54" i="8"/>
  <c r="M54" i="8" l="1"/>
  <c r="N54" i="8" s="1"/>
  <c r="O54" i="8" s="1"/>
  <c r="H55" i="8"/>
  <c r="M55" i="8" l="1"/>
  <c r="N55" i="8" s="1"/>
  <c r="O55" i="8" s="1"/>
  <c r="H56" i="8"/>
  <c r="M56" i="8" l="1"/>
  <c r="N56" i="8" s="1"/>
  <c r="O56" i="8" s="1"/>
  <c r="H57" i="8"/>
  <c r="M57" i="8" l="1"/>
  <c r="N57" i="8" s="1"/>
  <c r="O57" i="8" s="1"/>
  <c r="H58" i="8"/>
  <c r="M58" i="8" l="1"/>
  <c r="N58" i="8" s="1"/>
  <c r="O58" i="8" s="1"/>
  <c r="H59" i="8"/>
  <c r="M59" i="8" l="1"/>
  <c r="N59" i="8" s="1"/>
  <c r="O59" i="8" s="1"/>
  <c r="H60" i="8"/>
  <c r="M60" i="8" l="1"/>
  <c r="N60" i="8" s="1"/>
  <c r="O60" i="8" s="1"/>
  <c r="H61" i="8"/>
  <c r="M61" i="8" l="1"/>
  <c r="N61" i="8" s="1"/>
  <c r="O61" i="8" s="1"/>
  <c r="H62" i="8"/>
  <c r="M62" i="8" l="1"/>
  <c r="N62" i="8" s="1"/>
  <c r="O62" i="8" s="1"/>
  <c r="H63" i="8"/>
  <c r="M63" i="8" l="1"/>
  <c r="N63" i="8" s="1"/>
  <c r="O63" i="8" s="1"/>
  <c r="H64" i="8"/>
  <c r="M64" i="8" l="1"/>
  <c r="N64" i="8" s="1"/>
  <c r="O64" i="8" s="1"/>
  <c r="H65" i="8"/>
  <c r="H66" i="8" s="1"/>
  <c r="H67" i="8" s="1"/>
  <c r="M67" i="8" l="1"/>
  <c r="N67" i="8" s="1"/>
  <c r="O67" i="8" s="1"/>
  <c r="H68" i="8"/>
  <c r="H69" i="8" s="1"/>
  <c r="H70" i="8" s="1"/>
  <c r="H71" i="8" l="1"/>
  <c r="M70" i="8"/>
  <c r="N70" i="8" s="1"/>
  <c r="O70" i="8" s="1"/>
  <c r="J71" i="8" l="1"/>
  <c r="L71" i="8" s="1"/>
  <c r="M71" i="8"/>
  <c r="N71" i="8" s="1"/>
  <c r="O71" i="8" s="1"/>
  <c r="H72" i="8"/>
  <c r="J72" i="8" l="1"/>
  <c r="L72" i="8" s="1"/>
  <c r="M72" i="8"/>
  <c r="N72" i="8" s="1"/>
  <c r="N74" i="8" l="1"/>
  <c r="O72" i="8"/>
  <c r="O76" i="8" s="1"/>
  <c r="E29" i="8" s="1"/>
</calcChain>
</file>

<file path=xl/sharedStrings.xml><?xml version="1.0" encoding="utf-8"?>
<sst xmlns="http://schemas.openxmlformats.org/spreadsheetml/2006/main" count="70" uniqueCount="36">
  <si>
    <t>u</t>
  </si>
  <si>
    <t>d</t>
  </si>
  <si>
    <t>n</t>
  </si>
  <si>
    <t>S0</t>
  </si>
  <si>
    <t>pi</t>
  </si>
  <si>
    <t>RF</t>
  </si>
  <si>
    <t>K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</si>
  <si>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</si>
  <si>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</si>
  <si>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</si>
  <si>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</si>
  <si>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</si>
  <si>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</si>
  <si>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</si>
  <si>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</si>
  <si>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</si>
  <si>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</si>
  <si>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</si>
  <si>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Result</t>
  </si>
  <si>
    <t>Volatility</t>
  </si>
  <si>
    <t>r</t>
  </si>
  <si>
    <t>sigma</t>
  </si>
  <si>
    <t>P0</t>
  </si>
  <si>
    <t>3-month rf</t>
  </si>
  <si>
    <t>u^k d^(n-k)</t>
  </si>
  <si>
    <t>max()</t>
  </si>
  <si>
    <t>Num ups</t>
  </si>
  <si>
    <t>paths</t>
  </si>
  <si>
    <t>Num. of</t>
  </si>
  <si>
    <t>Exp.</t>
  </si>
  <si>
    <t>value</t>
  </si>
  <si>
    <t>Risk neutral</t>
  </si>
  <si>
    <t>prob.</t>
  </si>
  <si>
    <t>n=5</t>
  </si>
  <si>
    <t>n=50</t>
  </si>
  <si>
    <t>Input from Binomial n 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</si>
</sst>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 tint="-0.3499862666707357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4" borderId="1" xfId="0" applyFill="1" applyBorder="1"/>
    <xf numFmtId="2" fontId="0" fillId="4" borderId="2" xfId="0" applyNumberForma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5" fontId="2" fillId="2" borderId="8" xfId="0" applyNumberFormat="1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0" fillId="4" borderId="2" xfId="0" applyFill="1" applyBorder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3" borderId="3" xfId="0" applyFill="1" applyBorder="1"/>
    <xf numFmtId="0" fontId="0" fillId="3" borderId="4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5" xfId="0" applyFill="1" applyBorder="1"/>
    <xf numFmtId="0" fontId="0" fillId="3" borderId="6" xfId="0" applyFill="1" applyBorder="1"/>
    <xf numFmtId="0" fontId="0" fillId="6" borderId="9" xfId="0" applyFill="1" applyBorder="1"/>
    <xf numFmtId="0" fontId="0" fillId="7" borderId="1" xfId="0" applyFill="1" applyBorder="1"/>
    <xf numFmtId="2" fontId="0" fillId="7" borderId="2" xfId="0" applyNumberFormat="1" applyFill="1" applyBorder="1"/>
    <xf numFmtId="164" fontId="0" fillId="2" borderId="0" xfId="0" applyNumberFormat="1" applyFill="1"/>
    <xf numFmtId="0" fontId="0" fillId="3" borderId="3" xfId="0" applyFill="1" applyBorder="1" applyAlignment="1">
      <alignment horizontal="right"/>
    </xf>
    <xf numFmtId="0" fontId="0" fillId="3" borderId="10" xfId="0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0" fillId="3" borderId="5" xfId="0" applyFill="1" applyBorder="1" applyAlignment="1">
      <alignment horizontal="right"/>
    </xf>
    <xf numFmtId="0" fontId="0" fillId="3" borderId="11" xfId="0" applyFill="1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7" borderId="12" xfId="0" applyFill="1" applyBorder="1"/>
    <xf numFmtId="2" fontId="0" fillId="7" borderId="13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B2:F7"/>
  <sheetViews>
    <sheetView tabSelected="1" workbookViewId="0"/>
  </sheetViews>
  <sheetFormatPr baseColWidth="10" defaultRowHeight="16" x14ac:dyDescent="0.2"/>
  <cols>
    <col min="1" max="16384" width="10.83203125" style="1"/>
  </cols>
  <sheetData>
    <row r="2" spans="2:6" x14ac:dyDescent="0.2">
      <c r="B2" s="24" t="s">
        <v>3</v>
      </c>
      <c r="C2" s="25" t="s">
        <v>6</v>
      </c>
      <c r="D2" s="25" t="s">
        <v>20</v>
      </c>
      <c r="E2" s="25" t="s">
        <v>21</v>
      </c>
      <c r="F2" s="26" t="s">
        <v>8</v>
      </c>
    </row>
    <row r="3" spans="2:6" x14ac:dyDescent="0.2">
      <c r="B3" s="27">
        <v>50</v>
      </c>
      <c r="C3" s="28">
        <v>45</v>
      </c>
      <c r="D3" s="28">
        <v>0.06</v>
      </c>
      <c r="E3" s="28">
        <v>0.447214</v>
      </c>
      <c r="F3" s="29">
        <v>0.25</v>
      </c>
    </row>
    <row r="4" spans="2:6" x14ac:dyDescent="0.2">
      <c r="B4" s="1" t="s">
        <v>13</v>
      </c>
      <c r="C4" s="1" t="s">
        <v>14</v>
      </c>
    </row>
    <row r="5" spans="2:6" x14ac:dyDescent="0.2">
      <c r="B5" s="23">
        <f>(LN(B3/C3)+(D3+E3^2/2)*F3)/(E3*SQRT(F3))</f>
        <v>0.65007160277775899</v>
      </c>
      <c r="C5" s="23">
        <f>B5-E3*SQRT(F3)</f>
        <v>0.42646460277775899</v>
      </c>
    </row>
    <row r="6" spans="2:6" x14ac:dyDescent="0.2">
      <c r="B6" s="30" t="s">
        <v>7</v>
      </c>
    </row>
    <row r="7" spans="2:6" x14ac:dyDescent="0.2">
      <c r="B7" s="31">
        <f>B3*_xlfn.NORM.DIST(B5,0,1,TRUE)-C3*EXP(-D3*F3)*_xlfn.NORM.DIST(C5,0,1,TRUE)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3B7E-3537-1144-9381-F4A475F3D663}">
  <dimension ref="B2:O76"/>
  <sheetViews>
    <sheetView workbookViewId="0">
      <selection activeCell="E38" sqref="E38"/>
    </sheetView>
  </sheetViews>
  <sheetFormatPr baseColWidth="10" defaultRowHeight="16" x14ac:dyDescent="0.2"/>
  <cols>
    <col min="1" max="13" width="10.83203125" style="1"/>
    <col min="14" max="15" width="11.5" style="1" customWidth="1"/>
    <col min="16" max="16384" width="10.83203125" style="1"/>
  </cols>
  <sheetData>
    <row r="2" spans="2:15" x14ac:dyDescent="0.2">
      <c r="B2" s="20" t="s">
        <v>33</v>
      </c>
      <c r="D2" s="14" t="s">
        <v>8</v>
      </c>
      <c r="E2" s="15">
        <v>0.25</v>
      </c>
    </row>
    <row r="3" spans="2:15" x14ac:dyDescent="0.2">
      <c r="D3" s="16" t="s">
        <v>23</v>
      </c>
      <c r="E3" s="17">
        <v>1.4999999999999999E-2</v>
      </c>
      <c r="M3" s="1" t="s">
        <v>28</v>
      </c>
      <c r="N3" s="1" t="s">
        <v>31</v>
      </c>
      <c r="O3" s="1" t="s">
        <v>29</v>
      </c>
    </row>
    <row r="4" spans="2:15" x14ac:dyDescent="0.2">
      <c r="D4" s="16" t="s">
        <v>2</v>
      </c>
      <c r="E4" s="17">
        <v>5</v>
      </c>
      <c r="H4" s="1" t="s">
        <v>26</v>
      </c>
      <c r="I4" s="1" t="s">
        <v>3</v>
      </c>
      <c r="J4" s="1" t="s">
        <v>24</v>
      </c>
      <c r="K4" s="1" t="s">
        <v>6</v>
      </c>
      <c r="L4" s="1" t="s">
        <v>25</v>
      </c>
      <c r="M4" s="1" t="s">
        <v>27</v>
      </c>
      <c r="N4" s="1" t="s">
        <v>32</v>
      </c>
      <c r="O4" s="1" t="s">
        <v>30</v>
      </c>
    </row>
    <row r="5" spans="2:15" x14ac:dyDescent="0.2">
      <c r="D5" s="16" t="s">
        <v>21</v>
      </c>
      <c r="E5" s="17">
        <v>0.44719999999999999</v>
      </c>
      <c r="H5" s="1">
        <v>5</v>
      </c>
      <c r="I5" s="1">
        <f>$E$6</f>
        <v>50</v>
      </c>
      <c r="J5" s="1">
        <f t="shared" ref="J5:J10" si="0">($E$9^H5)*($E$10^($E$4-H5))</f>
        <v>1.6486962099463471</v>
      </c>
      <c r="K5" s="1">
        <f>$E$7</f>
        <v>45</v>
      </c>
      <c r="L5" s="1">
        <f>MAX(0,I5*J5-K5)</f>
        <v>37.434810497317358</v>
      </c>
      <c r="M5" s="1">
        <f>COMBIN($E$4,H5)</f>
        <v>1</v>
      </c>
      <c r="N5" s="1">
        <f>M5*(($E$11^H5)*((1-$E$11)^($E$4-H5)))</f>
        <v>2.8253158210989098E-2</v>
      </c>
      <c r="O5" s="1">
        <f>N5*L5</f>
        <v>1.0576516235791027</v>
      </c>
    </row>
    <row r="6" spans="2:15" x14ac:dyDescent="0.2">
      <c r="D6" s="16" t="s">
        <v>3</v>
      </c>
      <c r="E6" s="17">
        <v>50</v>
      </c>
      <c r="H6" s="1">
        <v>4</v>
      </c>
      <c r="I6" s="1">
        <f t="shared" ref="I6:I10" si="1">$E$6</f>
        <v>50</v>
      </c>
      <c r="J6" s="1">
        <f t="shared" si="0"/>
        <v>1.3498464967326882</v>
      </c>
      <c r="K6" s="1">
        <f t="shared" ref="K6:K10" si="2">$E$7</f>
        <v>45</v>
      </c>
      <c r="L6" s="1">
        <f t="shared" ref="L6:L10" si="3">MAX(0,I6*J6-K6)</f>
        <v>22.49232483663441</v>
      </c>
      <c r="M6" s="1">
        <f t="shared" ref="M6:M10" si="4">COMBIN($E$4,H6)</f>
        <v>5</v>
      </c>
      <c r="N6" s="1">
        <f t="shared" ref="N6:N10" si="5">M6*(($E$11^H6)*((1-$E$11)^($E$4-H6)))</f>
        <v>0.14702024424019566</v>
      </c>
      <c r="O6" s="1">
        <f t="shared" ref="O6:O10" si="6">N6*L6</f>
        <v>3.3068270910118098</v>
      </c>
    </row>
    <row r="7" spans="2:15" x14ac:dyDescent="0.2">
      <c r="D7" s="18" t="s">
        <v>6</v>
      </c>
      <c r="E7" s="19">
        <v>45</v>
      </c>
      <c r="H7" s="1">
        <v>3</v>
      </c>
      <c r="I7" s="1">
        <f t="shared" si="1"/>
        <v>50</v>
      </c>
      <c r="J7" s="1">
        <f t="shared" si="0"/>
        <v>1.1051675583100944</v>
      </c>
      <c r="K7" s="1">
        <f t="shared" si="2"/>
        <v>45</v>
      </c>
      <c r="L7" s="1">
        <f t="shared" si="3"/>
        <v>10.258377915504717</v>
      </c>
      <c r="M7" s="1">
        <f t="shared" si="4"/>
        <v>10</v>
      </c>
      <c r="N7" s="1">
        <f t="shared" si="5"/>
        <v>0.3060182094338697</v>
      </c>
      <c r="O7" s="1">
        <f t="shared" si="6"/>
        <v>3.1392504413987061</v>
      </c>
    </row>
    <row r="8" spans="2:15" x14ac:dyDescent="0.2">
      <c r="H8" s="1">
        <v>2</v>
      </c>
      <c r="I8" s="1">
        <f t="shared" si="1"/>
        <v>50</v>
      </c>
      <c r="J8" s="1">
        <f t="shared" si="0"/>
        <v>0.90484016878770368</v>
      </c>
      <c r="K8" s="1">
        <f t="shared" si="2"/>
        <v>45</v>
      </c>
      <c r="L8" s="1">
        <f t="shared" si="3"/>
        <v>0.24200843938518091</v>
      </c>
      <c r="M8" s="1">
        <f t="shared" si="4"/>
        <v>10</v>
      </c>
      <c r="N8" s="1">
        <f t="shared" si="5"/>
        <v>0.31848384210311476</v>
      </c>
      <c r="O8" s="1">
        <f t="shared" si="6"/>
        <v>7.7075777596771172E-2</v>
      </c>
    </row>
    <row r="9" spans="2:15" x14ac:dyDescent="0.2">
      <c r="D9" s="1" t="s">
        <v>0</v>
      </c>
      <c r="E9" s="1">
        <f>EXP(E5*SQRT(E2/E4))</f>
        <v>1.1051675583100944</v>
      </c>
      <c r="H9" s="1">
        <v>1</v>
      </c>
      <c r="I9" s="1">
        <f t="shared" si="1"/>
        <v>50</v>
      </c>
      <c r="J9" s="1">
        <f t="shared" si="0"/>
        <v>0.74082497707739825</v>
      </c>
      <c r="K9" s="1">
        <f t="shared" si="2"/>
        <v>45</v>
      </c>
      <c r="L9" s="1">
        <f t="shared" si="3"/>
        <v>0</v>
      </c>
      <c r="M9" s="1">
        <f t="shared" si="4"/>
        <v>5</v>
      </c>
      <c r="N9" s="1">
        <f t="shared" si="5"/>
        <v>0.16572863077071426</v>
      </c>
      <c r="O9" s="1">
        <f t="shared" si="6"/>
        <v>0</v>
      </c>
    </row>
    <row r="10" spans="2:15" x14ac:dyDescent="0.2">
      <c r="D10" s="1" t="s">
        <v>1</v>
      </c>
      <c r="E10" s="1">
        <f>1/E9</f>
        <v>0.90484016878770357</v>
      </c>
      <c r="H10" s="1">
        <v>0</v>
      </c>
      <c r="I10" s="1">
        <f t="shared" si="1"/>
        <v>50</v>
      </c>
      <c r="J10" s="1">
        <f t="shared" si="0"/>
        <v>0.60653987918886698</v>
      </c>
      <c r="K10" s="1">
        <f t="shared" si="2"/>
        <v>45</v>
      </c>
      <c r="L10" s="1">
        <f t="shared" si="3"/>
        <v>0</v>
      </c>
      <c r="M10" s="1">
        <f t="shared" si="4"/>
        <v>1</v>
      </c>
      <c r="N10" s="1">
        <f t="shared" si="5"/>
        <v>3.4495915241116858E-2</v>
      </c>
      <c r="O10" s="1">
        <f t="shared" si="6"/>
        <v>0</v>
      </c>
    </row>
    <row r="11" spans="2:15" x14ac:dyDescent="0.2">
      <c r="D11" s="1" t="s">
        <v>4</v>
      </c>
      <c r="E11" s="1">
        <f>(EXP(E3/E4)-E10)/(E9-E10)</f>
        <v>0.49001954225885608</v>
      </c>
      <c r="N11" s="1">
        <f>SUM(N5:N10)</f>
        <v>1.0000000000000002</v>
      </c>
    </row>
    <row r="13" spans="2:15" x14ac:dyDescent="0.2">
      <c r="D13" s="21" t="s">
        <v>7</v>
      </c>
      <c r="E13" s="22">
        <f>O13</f>
        <v>7.4679414518777554</v>
      </c>
      <c r="O13" s="1">
        <f>EXP(-E3)*SUM(O5:O10)</f>
        <v>7.4679414518777554</v>
      </c>
    </row>
    <row r="18" spans="2:15" x14ac:dyDescent="0.2">
      <c r="B18" s="20" t="s">
        <v>34</v>
      </c>
      <c r="D18" s="14" t="s">
        <v>8</v>
      </c>
      <c r="E18" s="15">
        <v>0.25</v>
      </c>
    </row>
    <row r="19" spans="2:15" x14ac:dyDescent="0.2">
      <c r="D19" s="16" t="s">
        <v>23</v>
      </c>
      <c r="E19" s="17">
        <v>1.4999999999999999E-2</v>
      </c>
      <c r="M19" s="1" t="s">
        <v>28</v>
      </c>
      <c r="N19" s="1" t="s">
        <v>31</v>
      </c>
      <c r="O19" s="1" t="s">
        <v>29</v>
      </c>
    </row>
    <row r="20" spans="2:15" x14ac:dyDescent="0.2">
      <c r="D20" s="16" t="s">
        <v>2</v>
      </c>
      <c r="E20" s="17">
        <v>50</v>
      </c>
      <c r="H20" s="1" t="s">
        <v>26</v>
      </c>
      <c r="I20" s="1" t="s">
        <v>3</v>
      </c>
      <c r="J20" s="1" t="s">
        <v>24</v>
      </c>
      <c r="K20" s="1" t="s">
        <v>6</v>
      </c>
      <c r="L20" s="1" t="s">
        <v>25</v>
      </c>
      <c r="M20" s="1" t="s">
        <v>27</v>
      </c>
      <c r="N20" s="1" t="s">
        <v>32</v>
      </c>
      <c r="O20" s="1" t="s">
        <v>30</v>
      </c>
    </row>
    <row r="21" spans="2:15" x14ac:dyDescent="0.2">
      <c r="D21" s="16" t="s">
        <v>21</v>
      </c>
      <c r="E21" s="17">
        <v>0.44719999999999999</v>
      </c>
    </row>
    <row r="22" spans="2:15" x14ac:dyDescent="0.2">
      <c r="D22" s="16" t="s">
        <v>3</v>
      </c>
      <c r="E22" s="17">
        <v>50</v>
      </c>
      <c r="H22" s="1">
        <v>50</v>
      </c>
      <c r="I22" s="1">
        <f>$E$6</f>
        <v>50</v>
      </c>
      <c r="J22" s="1">
        <f>($E$25^H22)*($E$26^($E$20-H22))</f>
        <v>4.8602543052818605</v>
      </c>
      <c r="K22" s="1">
        <f>$E$7</f>
        <v>45</v>
      </c>
      <c r="L22" s="1">
        <f>MAX(0,I22*J22-K22)</f>
        <v>198.01271526409303</v>
      </c>
      <c r="M22" s="1">
        <f>COMBIN($E$20,H22)</f>
        <v>1</v>
      </c>
      <c r="N22" s="1">
        <f>M22*(($E$27^H22)*((1-$E$27)^($E$20-H22)))</f>
        <v>6.468003591052578E-16</v>
      </c>
      <c r="O22" s="1">
        <f>N22*L22</f>
        <v>1.2807469534022253E-13</v>
      </c>
    </row>
    <row r="23" spans="2:15" x14ac:dyDescent="0.2">
      <c r="D23" s="18" t="s">
        <v>6</v>
      </c>
      <c r="E23" s="19">
        <v>45</v>
      </c>
      <c r="H23" s="1">
        <f>H22-1</f>
        <v>49</v>
      </c>
      <c r="I23" s="1">
        <f>$E$6</f>
        <v>50</v>
      </c>
      <c r="J23" s="1">
        <f>($E$25^H23)*($E$26^($E$20-H23))</f>
        <v>4.5623923870196474</v>
      </c>
      <c r="K23" s="1">
        <f>$E$7</f>
        <v>45</v>
      </c>
      <c r="L23" s="1">
        <f>MAX(0,I23*J23-K23)</f>
        <v>183.11961935098236</v>
      </c>
      <c r="M23" s="1">
        <f>COMBIN($E$20,H23)</f>
        <v>50</v>
      </c>
      <c r="N23" s="1">
        <f>M23*(($E$27^H23)*((1-$E$27)^($E$20-H23)))</f>
        <v>3.2751567759762276E-14</v>
      </c>
      <c r="O23" s="1">
        <f>N23*L23</f>
        <v>5.9974546213155739E-12</v>
      </c>
    </row>
    <row r="24" spans="2:15" x14ac:dyDescent="0.2">
      <c r="H24" s="1">
        <f t="shared" ref="H24:H72" si="7">H23-1</f>
        <v>48</v>
      </c>
      <c r="I24" s="1">
        <f t="shared" ref="I24:I72" si="8">$E$6</f>
        <v>50</v>
      </c>
      <c r="J24" s="1">
        <f t="shared" ref="J24:J72" si="9">($E$25^H24)*($E$26^($E$20-H24))</f>
        <v>4.2827850119928428</v>
      </c>
      <c r="K24" s="1">
        <f t="shared" ref="K24:K72" si="10">$E$7</f>
        <v>45</v>
      </c>
      <c r="L24" s="1">
        <f t="shared" ref="L24:L72" si="11">MAX(0,I24*J24-K24)</f>
        <v>169.13925059964214</v>
      </c>
      <c r="M24" s="1">
        <f t="shared" ref="M24:M72" si="12">COMBIN($E$20,H24)</f>
        <v>1225</v>
      </c>
      <c r="N24" s="1">
        <f t="shared" ref="N24:N72" si="13">M24*(($E$27^H24)*((1-$E$27)^($E$20-H24)))</f>
        <v>8.1262469331497672E-13</v>
      </c>
      <c r="O24" s="1">
        <f t="shared" ref="O24:O72" si="14">N24*L24</f>
        <v>1.3744673164605919E-10</v>
      </c>
    </row>
    <row r="25" spans="2:15" x14ac:dyDescent="0.2">
      <c r="D25" s="1" t="s">
        <v>0</v>
      </c>
      <c r="E25" s="1">
        <f>EXP(E21*SQRT(E18/E20))</f>
        <v>1.0321270967632485</v>
      </c>
      <c r="H25" s="1">
        <f t="shared" si="7"/>
        <v>47</v>
      </c>
      <c r="I25" s="1">
        <f t="shared" si="8"/>
        <v>50</v>
      </c>
      <c r="J25" s="1">
        <f t="shared" si="9"/>
        <v>4.0203134458876493</v>
      </c>
      <c r="K25" s="1">
        <f t="shared" si="10"/>
        <v>45</v>
      </c>
      <c r="L25" s="1">
        <f t="shared" si="11"/>
        <v>156.01567229438245</v>
      </c>
      <c r="M25" s="1">
        <f t="shared" si="12"/>
        <v>19600</v>
      </c>
      <c r="N25" s="1">
        <f t="shared" si="13"/>
        <v>1.3167454758091288E-11</v>
      </c>
      <c r="O25" s="1">
        <f t="shared" si="14"/>
        <v>2.0543293064894772E-9</v>
      </c>
    </row>
    <row r="26" spans="2:15" x14ac:dyDescent="0.2">
      <c r="D26" s="1" t="s">
        <v>1</v>
      </c>
      <c r="E26" s="1">
        <f>1/E25</f>
        <v>0.9688729257627291</v>
      </c>
      <c r="H26" s="1">
        <f t="shared" si="7"/>
        <v>46</v>
      </c>
      <c r="I26" s="1">
        <f t="shared" si="8"/>
        <v>50</v>
      </c>
      <c r="J26" s="1">
        <f t="shared" si="9"/>
        <v>3.7739275163065384</v>
      </c>
      <c r="K26" s="1">
        <f t="shared" si="10"/>
        <v>45</v>
      </c>
      <c r="L26" s="1">
        <f t="shared" si="11"/>
        <v>143.69637581532692</v>
      </c>
      <c r="M26" s="1">
        <f t="shared" si="12"/>
        <v>230300</v>
      </c>
      <c r="N26" s="1">
        <f t="shared" si="13"/>
        <v>1.5668648518146048E-10</v>
      </c>
      <c r="O26" s="1">
        <f t="shared" si="14"/>
        <v>2.2515280059817798E-8</v>
      </c>
    </row>
    <row r="27" spans="2:15" x14ac:dyDescent="0.2">
      <c r="D27" s="1" t="s">
        <v>4</v>
      </c>
      <c r="E27" s="1">
        <f>(EXP(E19/E20)-E26)/(E25-E26)</f>
        <v>0.4968386865984401</v>
      </c>
      <c r="H27" s="1">
        <f t="shared" si="7"/>
        <v>45</v>
      </c>
      <c r="I27" s="1">
        <f t="shared" si="8"/>
        <v>50</v>
      </c>
      <c r="J27" s="1">
        <f t="shared" si="9"/>
        <v>3.5426414109338231</v>
      </c>
      <c r="K27" s="1">
        <f t="shared" si="10"/>
        <v>45</v>
      </c>
      <c r="L27" s="1">
        <f t="shared" si="11"/>
        <v>132.13207054669115</v>
      </c>
      <c r="M27" s="1">
        <f t="shared" si="12"/>
        <v>2118760</v>
      </c>
      <c r="N27" s="1">
        <f t="shared" si="13"/>
        <v>1.459859979074166E-9</v>
      </c>
      <c r="O27" s="1">
        <f t="shared" si="14"/>
        <v>1.9289432174331877E-7</v>
      </c>
    </row>
    <row r="28" spans="2:15" x14ac:dyDescent="0.2">
      <c r="H28" s="1">
        <f t="shared" si="7"/>
        <v>44</v>
      </c>
      <c r="I28" s="1">
        <f t="shared" si="8"/>
        <v>50</v>
      </c>
      <c r="J28" s="1">
        <f t="shared" si="9"/>
        <v>3.3255297332117033</v>
      </c>
      <c r="K28" s="1">
        <f t="shared" si="10"/>
        <v>45</v>
      </c>
      <c r="L28" s="1">
        <f t="shared" si="11"/>
        <v>121.27648666058516</v>
      </c>
      <c r="M28" s="1">
        <f t="shared" si="12"/>
        <v>15890700</v>
      </c>
      <c r="N28" s="1">
        <f t="shared" si="13"/>
        <v>1.1088283042364196E-8</v>
      </c>
      <c r="O28" s="1">
        <f t="shared" si="14"/>
        <v>1.3447480104760741E-6</v>
      </c>
    </row>
    <row r="29" spans="2:15" x14ac:dyDescent="0.2">
      <c r="D29" s="21" t="s">
        <v>7</v>
      </c>
      <c r="E29" s="22">
        <f>O76</f>
        <v>7.637688305501996</v>
      </c>
      <c r="H29" s="1">
        <f t="shared" si="7"/>
        <v>43</v>
      </c>
      <c r="I29" s="1">
        <f t="shared" si="8"/>
        <v>50</v>
      </c>
      <c r="J29" s="1">
        <f t="shared" si="9"/>
        <v>3.1217237997452201</v>
      </c>
      <c r="K29" s="1">
        <f t="shared" si="10"/>
        <v>45</v>
      </c>
      <c r="L29" s="1">
        <f t="shared" si="11"/>
        <v>111.08618998726101</v>
      </c>
      <c r="M29" s="1">
        <f t="shared" si="12"/>
        <v>99884400</v>
      </c>
      <c r="N29" s="1">
        <f t="shared" si="13"/>
        <v>7.0584733095194569E-8</v>
      </c>
      <c r="O29" s="1">
        <f t="shared" si="14"/>
        <v>7.8409890708128945E-6</v>
      </c>
    </row>
    <row r="30" spans="2:15" x14ac:dyDescent="0.2">
      <c r="H30" s="1">
        <f t="shared" si="7"/>
        <v>42</v>
      </c>
      <c r="I30" s="1">
        <f t="shared" si="8"/>
        <v>50</v>
      </c>
      <c r="J30" s="1">
        <f t="shared" si="9"/>
        <v>2.9304081646216811</v>
      </c>
      <c r="K30" s="1">
        <f t="shared" si="10"/>
        <v>45</v>
      </c>
      <c r="L30" s="1">
        <f t="shared" si="11"/>
        <v>101.52040823108405</v>
      </c>
      <c r="M30" s="1">
        <f t="shared" si="12"/>
        <v>536878649.99999988</v>
      </c>
      <c r="N30" s="1">
        <f t="shared" si="13"/>
        <v>3.8422098626656409E-7</v>
      </c>
      <c r="O30" s="1">
        <f t="shared" si="14"/>
        <v>3.9006271376731321E-5</v>
      </c>
    </row>
    <row r="31" spans="2:15" x14ac:dyDescent="0.2">
      <c r="H31" s="1">
        <f t="shared" si="7"/>
        <v>41</v>
      </c>
      <c r="I31" s="1">
        <f t="shared" si="8"/>
        <v>50</v>
      </c>
      <c r="J31" s="1">
        <f t="shared" si="9"/>
        <v>2.7508173567380498</v>
      </c>
      <c r="K31" s="1">
        <f t="shared" si="10"/>
        <v>45</v>
      </c>
      <c r="L31" s="1">
        <f t="shared" si="11"/>
        <v>92.540867836902493</v>
      </c>
      <c r="M31" s="1">
        <f t="shared" si="12"/>
        <v>2505433700</v>
      </c>
      <c r="N31" s="1">
        <f t="shared" si="13"/>
        <v>1.8158488715514057E-6</v>
      </c>
      <c r="O31" s="1">
        <f t="shared" si="14"/>
        <v>1.6804023043402716E-4</v>
      </c>
    </row>
    <row r="32" spans="2:15" x14ac:dyDescent="0.2">
      <c r="H32" s="1">
        <f t="shared" si="7"/>
        <v>40</v>
      </c>
      <c r="I32" s="1">
        <f t="shared" si="8"/>
        <v>50</v>
      </c>
      <c r="J32" s="1">
        <f t="shared" si="9"/>
        <v>2.5822328170820601</v>
      </c>
      <c r="K32" s="1">
        <f t="shared" si="10"/>
        <v>45</v>
      </c>
      <c r="L32" s="1">
        <f t="shared" si="11"/>
        <v>84.111640854103001</v>
      </c>
      <c r="M32" s="1">
        <f t="shared" si="12"/>
        <v>10272278170</v>
      </c>
      <c r="N32" s="1">
        <f t="shared" si="13"/>
        <v>7.5397230609312189E-6</v>
      </c>
      <c r="O32" s="1">
        <f t="shared" si="14"/>
        <v>6.3417847824044486E-4</v>
      </c>
    </row>
    <row r="33" spans="8:15" x14ac:dyDescent="0.2">
      <c r="H33" s="1">
        <f t="shared" si="7"/>
        <v>39</v>
      </c>
      <c r="I33" s="1">
        <f t="shared" si="8"/>
        <v>50</v>
      </c>
      <c r="J33" s="1">
        <f t="shared" si="9"/>
        <v>2.4239800237128262</v>
      </c>
      <c r="K33" s="1">
        <f t="shared" si="10"/>
        <v>45</v>
      </c>
      <c r="L33" s="1">
        <f t="shared" si="11"/>
        <v>76.199001185641308</v>
      </c>
      <c r="M33" s="1">
        <f t="shared" si="12"/>
        <v>37353738799.999985</v>
      </c>
      <c r="N33" s="1">
        <f t="shared" si="13"/>
        <v>2.7766077879287493E-5</v>
      </c>
      <c r="O33" s="1">
        <f t="shared" si="14"/>
        <v>2.1157474012444364E-3</v>
      </c>
    </row>
    <row r="34" spans="8:15" x14ac:dyDescent="0.2">
      <c r="H34" s="1">
        <f t="shared" si="7"/>
        <v>38</v>
      </c>
      <c r="I34" s="1">
        <f t="shared" si="8"/>
        <v>50</v>
      </c>
      <c r="J34" s="1">
        <f t="shared" si="9"/>
        <v>2.2754257929377526</v>
      </c>
      <c r="K34" s="1">
        <f t="shared" si="10"/>
        <v>45</v>
      </c>
      <c r="L34" s="1">
        <f t="shared" si="11"/>
        <v>68.771289646887624</v>
      </c>
      <c r="M34" s="1">
        <f t="shared" si="12"/>
        <v>121399651100</v>
      </c>
      <c r="N34" s="1">
        <f t="shared" si="13"/>
        <v>9.1388118355994249E-5</v>
      </c>
      <c r="O34" s="1">
        <f t="shared" si="14"/>
        <v>6.2848787577441277E-3</v>
      </c>
    </row>
    <row r="35" spans="8:15" x14ac:dyDescent="0.2">
      <c r="H35" s="1">
        <f t="shared" si="7"/>
        <v>37</v>
      </c>
      <c r="I35" s="1">
        <f t="shared" si="8"/>
        <v>50</v>
      </c>
      <c r="J35" s="1">
        <f t="shared" si="9"/>
        <v>2.1359757458874982</v>
      </c>
      <c r="K35" s="1">
        <f t="shared" si="10"/>
        <v>45</v>
      </c>
      <c r="L35" s="1">
        <f t="shared" si="11"/>
        <v>61.798787294374904</v>
      </c>
      <c r="M35" s="1">
        <f t="shared" si="12"/>
        <v>354860518599.99988</v>
      </c>
      <c r="N35" s="1">
        <f t="shared" si="13"/>
        <v>2.7053397693207012E-4</v>
      </c>
      <c r="O35" s="1">
        <f t="shared" si="14"/>
        <v>1.6718671696326327E-2</v>
      </c>
    </row>
    <row r="36" spans="8:15" x14ac:dyDescent="0.2">
      <c r="H36" s="1">
        <f t="shared" si="7"/>
        <v>36</v>
      </c>
      <c r="I36" s="1">
        <f t="shared" si="8"/>
        <v>50</v>
      </c>
      <c r="J36" s="1">
        <f t="shared" si="9"/>
        <v>2.0050719303525386</v>
      </c>
      <c r="K36" s="1">
        <f t="shared" si="10"/>
        <v>45</v>
      </c>
      <c r="L36" s="1">
        <f t="shared" si="11"/>
        <v>55.253596517626931</v>
      </c>
      <c r="M36" s="1">
        <f t="shared" si="12"/>
        <v>937845656300</v>
      </c>
      <c r="N36" s="1">
        <f t="shared" si="13"/>
        <v>7.240813177553998E-4</v>
      </c>
      <c r="O36" s="1">
        <f t="shared" si="14"/>
        <v>4.0008096977208481E-2</v>
      </c>
    </row>
    <row r="37" spans="8:15" x14ac:dyDescent="0.2">
      <c r="H37" s="1">
        <f t="shared" si="7"/>
        <v>35</v>
      </c>
      <c r="I37" s="1">
        <f t="shared" si="8"/>
        <v>50</v>
      </c>
      <c r="J37" s="1">
        <f t="shared" si="9"/>
        <v>1.8821905883660743</v>
      </c>
      <c r="K37" s="1">
        <f t="shared" si="10"/>
        <v>45</v>
      </c>
      <c r="L37" s="1">
        <f t="shared" si="11"/>
        <v>49.109529418303723</v>
      </c>
      <c r="M37" s="1">
        <f t="shared" si="12"/>
        <v>2250829575120.0005</v>
      </c>
      <c r="N37" s="1">
        <f t="shared" si="13"/>
        <v>1.7599098460501397E-3</v>
      </c>
      <c r="O37" s="1">
        <f t="shared" si="14"/>
        <v>8.6428344358161713E-2</v>
      </c>
    </row>
    <row r="38" spans="8:15" x14ac:dyDescent="0.2">
      <c r="H38" s="1">
        <f t="shared" si="7"/>
        <v>34</v>
      </c>
      <c r="I38" s="1">
        <f t="shared" si="8"/>
        <v>50</v>
      </c>
      <c r="J38" s="1">
        <f t="shared" si="9"/>
        <v>1.7668400606011923</v>
      </c>
      <c r="K38" s="1">
        <f t="shared" si="10"/>
        <v>45</v>
      </c>
      <c r="L38" s="1">
        <f t="shared" si="11"/>
        <v>43.342003030059615</v>
      </c>
      <c r="M38" s="1">
        <f t="shared" si="12"/>
        <v>4923689695575</v>
      </c>
      <c r="N38" s="1">
        <f t="shared" si="13"/>
        <v>3.8987942757178012E-3</v>
      </c>
      <c r="O38" s="1">
        <f t="shared" si="14"/>
        <v>0.16898155331174003</v>
      </c>
    </row>
    <row r="39" spans="8:15" x14ac:dyDescent="0.2">
      <c r="H39" s="1">
        <f t="shared" si="7"/>
        <v>33</v>
      </c>
      <c r="I39" s="1">
        <f t="shared" si="8"/>
        <v>50</v>
      </c>
      <c r="J39" s="1">
        <f t="shared" si="9"/>
        <v>1.6585588191975749</v>
      </c>
      <c r="K39" s="1">
        <f t="shared" si="10"/>
        <v>45</v>
      </c>
      <c r="L39" s="1">
        <f t="shared" si="11"/>
        <v>37.92794095987874</v>
      </c>
      <c r="M39" s="1">
        <f t="shared" si="12"/>
        <v>9847379391150</v>
      </c>
      <c r="N39" s="1">
        <f t="shared" si="13"/>
        <v>7.8968184296734339E-3</v>
      </c>
      <c r="O39" s="1">
        <f t="shared" si="14"/>
        <v>0.29951006317153633</v>
      </c>
    </row>
    <row r="40" spans="8:15" x14ac:dyDescent="0.2">
      <c r="H40" s="1">
        <f t="shared" si="7"/>
        <v>32</v>
      </c>
      <c r="I40" s="1">
        <f t="shared" si="8"/>
        <v>50</v>
      </c>
      <c r="J40" s="1">
        <f t="shared" si="9"/>
        <v>1.5569136211469248</v>
      </c>
      <c r="K40" s="1">
        <f t="shared" si="10"/>
        <v>45</v>
      </c>
      <c r="L40" s="1">
        <f t="shared" si="11"/>
        <v>32.845681057346241</v>
      </c>
      <c r="M40" s="1">
        <f t="shared" si="12"/>
        <v>18053528883775.008</v>
      </c>
      <c r="N40" s="1">
        <f t="shared" si="13"/>
        <v>1.466173697801396E-2</v>
      </c>
      <c r="O40" s="1">
        <f t="shared" si="14"/>
        <v>0.48157473652654603</v>
      </c>
    </row>
    <row r="41" spans="8:15" x14ac:dyDescent="0.2">
      <c r="H41" s="1">
        <f t="shared" si="7"/>
        <v>31</v>
      </c>
      <c r="I41" s="1">
        <f t="shared" si="8"/>
        <v>50</v>
      </c>
      <c r="J41" s="1">
        <f t="shared" si="9"/>
        <v>1.4614977748486317</v>
      </c>
      <c r="K41" s="1">
        <f t="shared" si="10"/>
        <v>45</v>
      </c>
      <c r="L41" s="1">
        <f t="shared" si="11"/>
        <v>28.074888742431583</v>
      </c>
      <c r="M41" s="1">
        <f t="shared" si="12"/>
        <v>30405943383199.988</v>
      </c>
      <c r="N41" s="1">
        <f t="shared" si="13"/>
        <v>2.5007693545853315E-2</v>
      </c>
      <c r="O41" s="1">
        <f t="shared" si="14"/>
        <v>0.70208821400465615</v>
      </c>
    </row>
    <row r="42" spans="8:15" x14ac:dyDescent="0.2">
      <c r="H42" s="1">
        <f t="shared" si="7"/>
        <v>30</v>
      </c>
      <c r="I42" s="1">
        <f t="shared" si="8"/>
        <v>50</v>
      </c>
      <c r="J42" s="1">
        <f t="shared" si="9"/>
        <v>1.3719295129000171</v>
      </c>
      <c r="K42" s="1">
        <f t="shared" si="10"/>
        <v>45</v>
      </c>
      <c r="L42" s="1">
        <f t="shared" si="11"/>
        <v>23.596475645000851</v>
      </c>
      <c r="M42" s="1">
        <f t="shared" si="12"/>
        <v>47129212243960</v>
      </c>
      <c r="N42" s="1">
        <f t="shared" si="13"/>
        <v>3.9255198149978181E-2</v>
      </c>
      <c r="O42" s="1">
        <f t="shared" si="14"/>
        <v>0.92628432708564257</v>
      </c>
    </row>
    <row r="43" spans="8:15" x14ac:dyDescent="0.2">
      <c r="H43" s="1">
        <f t="shared" si="7"/>
        <v>29</v>
      </c>
      <c r="I43" s="1">
        <f t="shared" si="8"/>
        <v>50</v>
      </c>
      <c r="J43" s="1">
        <f t="shared" si="9"/>
        <v>1.2878504646105378</v>
      </c>
      <c r="K43" s="1">
        <f t="shared" si="10"/>
        <v>45</v>
      </c>
      <c r="L43" s="1">
        <f t="shared" si="11"/>
        <v>19.392523230526891</v>
      </c>
      <c r="M43" s="1">
        <f t="shared" si="12"/>
        <v>67327446062800</v>
      </c>
      <c r="N43" s="1">
        <f t="shared" si="13"/>
        <v>5.6792497938198752E-2</v>
      </c>
      <c r="O43" s="1">
        <f t="shared" si="14"/>
        <v>1.1013498355861699</v>
      </c>
    </row>
    <row r="44" spans="8:15" x14ac:dyDescent="0.2">
      <c r="H44" s="1">
        <f t="shared" si="7"/>
        <v>28</v>
      </c>
      <c r="I44" s="1">
        <f t="shared" si="8"/>
        <v>50</v>
      </c>
      <c r="J44" s="1">
        <f t="shared" si="9"/>
        <v>1.2089242221283492</v>
      </c>
      <c r="K44" s="1">
        <f t="shared" si="10"/>
        <v>45</v>
      </c>
      <c r="L44" s="1">
        <f t="shared" si="11"/>
        <v>15.446211106417458</v>
      </c>
      <c r="M44" s="1">
        <f t="shared" si="12"/>
        <v>88749815264599.969</v>
      </c>
      <c r="N44" s="1">
        <f t="shared" si="13"/>
        <v>7.5815521225158347E-2</v>
      </c>
      <c r="O44" s="1">
        <f t="shared" si="14"/>
        <v>1.1710625459868693</v>
      </c>
    </row>
    <row r="45" spans="8:15" x14ac:dyDescent="0.2">
      <c r="H45" s="1">
        <f t="shared" si="7"/>
        <v>27</v>
      </c>
      <c r="I45" s="1">
        <f t="shared" si="8"/>
        <v>50</v>
      </c>
      <c r="J45" s="1">
        <f t="shared" si="9"/>
        <v>1.134834994442161</v>
      </c>
      <c r="K45" s="1">
        <f t="shared" si="10"/>
        <v>45</v>
      </c>
      <c r="L45" s="1">
        <f t="shared" si="11"/>
        <v>11.741749722108047</v>
      </c>
      <c r="M45" s="1">
        <f t="shared" si="12"/>
        <v>108043253365600.03</v>
      </c>
      <c r="N45" s="1">
        <f t="shared" si="13"/>
        <v>9.3471703445755672E-2</v>
      </c>
      <c r="O45" s="1">
        <f t="shared" si="14"/>
        <v>1.0975213479591674</v>
      </c>
    </row>
    <row r="46" spans="8:15" x14ac:dyDescent="0.2">
      <c r="H46" s="1">
        <f t="shared" si="7"/>
        <v>26</v>
      </c>
      <c r="I46" s="1">
        <f t="shared" si="8"/>
        <v>50</v>
      </c>
      <c r="J46" s="1">
        <f t="shared" si="9"/>
        <v>1.0652863438729341</v>
      </c>
      <c r="K46" s="1">
        <f t="shared" si="10"/>
        <v>45</v>
      </c>
      <c r="L46" s="1">
        <f t="shared" si="11"/>
        <v>8.2643171936467041</v>
      </c>
      <c r="M46" s="1">
        <f t="shared" si="12"/>
        <v>121548660036300.05</v>
      </c>
      <c r="N46" s="1">
        <f t="shared" si="13"/>
        <v>0.10649384726428751</v>
      </c>
      <c r="O46" s="1">
        <f t="shared" si="14"/>
        <v>0.88009893296383734</v>
      </c>
    </row>
    <row r="47" spans="8:15" x14ac:dyDescent="0.2">
      <c r="H47" s="1">
        <f t="shared" si="7"/>
        <v>25</v>
      </c>
      <c r="I47" s="1">
        <f t="shared" si="8"/>
        <v>50</v>
      </c>
      <c r="J47" s="1">
        <f t="shared" si="9"/>
        <v>1.0000000000000016</v>
      </c>
      <c r="K47" s="1">
        <f t="shared" si="10"/>
        <v>45</v>
      </c>
      <c r="L47" s="1">
        <f t="shared" si="11"/>
        <v>5.0000000000000782</v>
      </c>
      <c r="M47" s="1">
        <f t="shared" si="12"/>
        <v>126410606437751.98</v>
      </c>
      <c r="N47" s="1">
        <f t="shared" si="13"/>
        <v>0.11216301975709782</v>
      </c>
      <c r="O47" s="1">
        <f t="shared" si="14"/>
        <v>0.56081509878549785</v>
      </c>
    </row>
    <row r="48" spans="8:15" x14ac:dyDescent="0.2">
      <c r="H48" s="1">
        <f t="shared" si="7"/>
        <v>24</v>
      </c>
      <c r="I48" s="1">
        <f t="shared" si="8"/>
        <v>50</v>
      </c>
      <c r="J48" s="1">
        <f t="shared" si="9"/>
        <v>0.93871474627603235</v>
      </c>
      <c r="K48" s="1">
        <f t="shared" si="10"/>
        <v>45</v>
      </c>
      <c r="L48" s="1">
        <f t="shared" si="11"/>
        <v>1.9357373138016172</v>
      </c>
      <c r="M48" s="1">
        <f t="shared" si="12"/>
        <v>121548660036300.05</v>
      </c>
      <c r="N48" s="1">
        <f t="shared" si="13"/>
        <v>0.1092215136699347</v>
      </c>
      <c r="O48" s="1">
        <f t="shared" si="14"/>
        <v>0.21142415948078599</v>
      </c>
    </row>
    <row r="49" spans="8:15" x14ac:dyDescent="0.2">
      <c r="H49" s="1">
        <f t="shared" si="7"/>
        <v>23</v>
      </c>
      <c r="I49" s="1">
        <f t="shared" si="8"/>
        <v>50</v>
      </c>
      <c r="J49" s="1">
        <f t="shared" si="9"/>
        <v>0.88118537487607407</v>
      </c>
      <c r="K49" s="1">
        <f t="shared" si="10"/>
        <v>45</v>
      </c>
      <c r="L49" s="1">
        <f t="shared" si="11"/>
        <v>0</v>
      </c>
      <c r="M49" s="1">
        <f t="shared" si="12"/>
        <v>108043253365600.03</v>
      </c>
      <c r="N49" s="1">
        <f t="shared" si="13"/>
        <v>9.8321275880636744E-2</v>
      </c>
      <c r="O49" s="1">
        <f t="shared" si="14"/>
        <v>0</v>
      </c>
    </row>
    <row r="50" spans="8:15" x14ac:dyDescent="0.2">
      <c r="H50" s="1">
        <f t="shared" si="7"/>
        <v>22</v>
      </c>
      <c r="I50" s="1">
        <f t="shared" si="8"/>
        <v>50</v>
      </c>
      <c r="J50" s="1">
        <f t="shared" si="9"/>
        <v>0.82718170559894311</v>
      </c>
      <c r="K50" s="1">
        <f t="shared" si="10"/>
        <v>45</v>
      </c>
      <c r="L50" s="1">
        <f t="shared" si="11"/>
        <v>0</v>
      </c>
      <c r="M50" s="1">
        <f t="shared" si="12"/>
        <v>88749815264599.969</v>
      </c>
      <c r="N50" s="1">
        <f t="shared" si="13"/>
        <v>8.1791683509761112E-2</v>
      </c>
      <c r="O50" s="1">
        <f t="shared" si="14"/>
        <v>0</v>
      </c>
    </row>
    <row r="51" spans="8:15" x14ac:dyDescent="0.2">
      <c r="H51" s="1">
        <f t="shared" si="7"/>
        <v>21</v>
      </c>
      <c r="I51" s="1">
        <f t="shared" si="8"/>
        <v>50</v>
      </c>
      <c r="J51" s="1">
        <f t="shared" si="9"/>
        <v>0.77648766489548615</v>
      </c>
      <c r="K51" s="1">
        <f t="shared" si="10"/>
        <v>45</v>
      </c>
      <c r="L51" s="1">
        <f t="shared" si="11"/>
        <v>0</v>
      </c>
      <c r="M51" s="1">
        <f t="shared" si="12"/>
        <v>67327446062800</v>
      </c>
      <c r="N51" s="1">
        <f t="shared" si="13"/>
        <v>6.2838479412970272E-2</v>
      </c>
      <c r="O51" s="1">
        <f t="shared" si="14"/>
        <v>0</v>
      </c>
    </row>
    <row r="52" spans="8:15" x14ac:dyDescent="0.2">
      <c r="H52" s="1">
        <f t="shared" si="7"/>
        <v>20</v>
      </c>
      <c r="I52" s="1">
        <f t="shared" si="8"/>
        <v>50</v>
      </c>
      <c r="J52" s="1">
        <f t="shared" si="9"/>
        <v>0.72890042133883381</v>
      </c>
      <c r="K52" s="1">
        <f t="shared" si="10"/>
        <v>45</v>
      </c>
      <c r="L52" s="1">
        <f t="shared" si="11"/>
        <v>0</v>
      </c>
      <c r="M52" s="1">
        <f t="shared" si="12"/>
        <v>47129212243960</v>
      </c>
      <c r="N52" s="1">
        <f t="shared" si="13"/>
        <v>4.4546700731054538E-2</v>
      </c>
      <c r="O52" s="1">
        <f t="shared" si="14"/>
        <v>0</v>
      </c>
    </row>
    <row r="53" spans="8:15" x14ac:dyDescent="0.2">
      <c r="H53" s="1">
        <f t="shared" si="7"/>
        <v>19</v>
      </c>
      <c r="I53" s="1">
        <f t="shared" si="8"/>
        <v>50</v>
      </c>
      <c r="J53" s="1">
        <f t="shared" si="9"/>
        <v>0.68422957407757523</v>
      </c>
      <c r="K53" s="1">
        <f t="shared" si="10"/>
        <v>45</v>
      </c>
      <c r="L53" s="1">
        <f t="shared" si="11"/>
        <v>0</v>
      </c>
      <c r="M53" s="1">
        <f t="shared" si="12"/>
        <v>30405943383199.988</v>
      </c>
      <c r="N53" s="1">
        <f t="shared" si="13"/>
        <v>2.9105541473469953E-2</v>
      </c>
      <c r="O53" s="1">
        <f t="shared" si="14"/>
        <v>0</v>
      </c>
    </row>
    <row r="54" spans="8:15" x14ac:dyDescent="0.2">
      <c r="H54" s="1">
        <f t="shared" si="7"/>
        <v>18</v>
      </c>
      <c r="I54" s="1">
        <f t="shared" si="8"/>
        <v>50</v>
      </c>
      <c r="J54" s="1">
        <f t="shared" si="9"/>
        <v>0.64229639102478764</v>
      </c>
      <c r="K54" s="1">
        <f t="shared" si="10"/>
        <v>45</v>
      </c>
      <c r="L54" s="1">
        <f t="shared" si="11"/>
        <v>0</v>
      </c>
      <c r="M54" s="1">
        <f t="shared" si="12"/>
        <v>18053528883775.008</v>
      </c>
      <c r="N54" s="1">
        <f t="shared" si="13"/>
        <v>1.75013335899738E-2</v>
      </c>
      <c r="O54" s="1">
        <f t="shared" si="14"/>
        <v>0</v>
      </c>
    </row>
    <row r="55" spans="8:15" x14ac:dyDescent="0.2">
      <c r="H55" s="1">
        <f t="shared" si="7"/>
        <v>17</v>
      </c>
      <c r="I55" s="1">
        <f t="shared" si="8"/>
        <v>50</v>
      </c>
      <c r="J55" s="1">
        <f t="shared" si="9"/>
        <v>0.60293309373484372</v>
      </c>
      <c r="K55" s="1">
        <f t="shared" si="10"/>
        <v>45</v>
      </c>
      <c r="L55" s="1">
        <f t="shared" si="11"/>
        <v>0</v>
      </c>
      <c r="M55" s="1">
        <f t="shared" si="12"/>
        <v>9847379391150</v>
      </c>
      <c r="N55" s="1">
        <f t="shared" si="13"/>
        <v>9.6676639352039663E-3</v>
      </c>
      <c r="O55" s="1">
        <f t="shared" si="14"/>
        <v>0</v>
      </c>
    </row>
    <row r="56" spans="8:15" x14ac:dyDescent="0.2">
      <c r="H56" s="1">
        <f t="shared" si="7"/>
        <v>16</v>
      </c>
      <c r="I56" s="1">
        <f t="shared" si="8"/>
        <v>50</v>
      </c>
      <c r="J56" s="1">
        <f t="shared" si="9"/>
        <v>0.56598218610672613</v>
      </c>
      <c r="K56" s="1">
        <f t="shared" si="10"/>
        <v>45</v>
      </c>
      <c r="L56" s="1">
        <f t="shared" si="11"/>
        <v>0</v>
      </c>
      <c r="M56" s="1">
        <f t="shared" si="12"/>
        <v>4923689695575</v>
      </c>
      <c r="N56" s="1">
        <f t="shared" si="13"/>
        <v>4.8953459285404543E-3</v>
      </c>
      <c r="O56" s="1">
        <f t="shared" si="14"/>
        <v>0</v>
      </c>
    </row>
    <row r="57" spans="8:15" x14ac:dyDescent="0.2">
      <c r="H57" s="1">
        <f t="shared" si="7"/>
        <v>15</v>
      </c>
      <c r="I57" s="1">
        <f t="shared" si="8"/>
        <v>50</v>
      </c>
      <c r="J57" s="1">
        <f t="shared" si="9"/>
        <v>0.53129582422792865</v>
      </c>
      <c r="K57" s="1">
        <f t="shared" si="10"/>
        <v>45</v>
      </c>
      <c r="L57" s="1">
        <f t="shared" si="11"/>
        <v>0</v>
      </c>
      <c r="M57" s="1">
        <f t="shared" si="12"/>
        <v>2250829575120.0005</v>
      </c>
      <c r="N57" s="1">
        <f t="shared" si="13"/>
        <v>2.2663509478970389E-3</v>
      </c>
      <c r="O57" s="1">
        <f t="shared" si="14"/>
        <v>0</v>
      </c>
    </row>
    <row r="58" spans="8:15" x14ac:dyDescent="0.2">
      <c r="H58" s="1">
        <f t="shared" si="7"/>
        <v>14</v>
      </c>
      <c r="I58" s="1">
        <f t="shared" si="8"/>
        <v>50</v>
      </c>
      <c r="J58" s="1">
        <f t="shared" si="9"/>
        <v>0.49873522483763461</v>
      </c>
      <c r="K58" s="1">
        <f t="shared" si="10"/>
        <v>45</v>
      </c>
      <c r="L58" s="1">
        <f t="shared" si="11"/>
        <v>0</v>
      </c>
      <c r="M58" s="1">
        <f t="shared" si="12"/>
        <v>937845656300</v>
      </c>
      <c r="N58" s="1">
        <f t="shared" si="13"/>
        <v>9.563299503540214E-4</v>
      </c>
      <c r="O58" s="1">
        <f t="shared" si="14"/>
        <v>0</v>
      </c>
    </row>
    <row r="59" spans="8:15" x14ac:dyDescent="0.2">
      <c r="H59" s="1">
        <f t="shared" si="7"/>
        <v>13</v>
      </c>
      <c r="I59" s="1">
        <f t="shared" si="8"/>
        <v>50</v>
      </c>
      <c r="J59" s="1">
        <f t="shared" si="9"/>
        <v>0.46817011004237935</v>
      </c>
      <c r="K59" s="1">
        <f t="shared" si="10"/>
        <v>45</v>
      </c>
      <c r="L59" s="1">
        <f t="shared" si="11"/>
        <v>0</v>
      </c>
      <c r="M59" s="1">
        <f t="shared" si="12"/>
        <v>354860518599.99988</v>
      </c>
      <c r="N59" s="1">
        <f t="shared" si="13"/>
        <v>3.6645943348588908E-4</v>
      </c>
      <c r="O59" s="1">
        <f t="shared" si="14"/>
        <v>0</v>
      </c>
    </row>
    <row r="60" spans="8:15" x14ac:dyDescent="0.2">
      <c r="H60" s="1">
        <f t="shared" si="7"/>
        <v>12</v>
      </c>
      <c r="I60" s="1">
        <f t="shared" si="8"/>
        <v>50</v>
      </c>
      <c r="J60" s="1">
        <f t="shared" si="9"/>
        <v>0.43947818606245342</v>
      </c>
      <c r="K60" s="1">
        <f t="shared" si="10"/>
        <v>45</v>
      </c>
      <c r="L60" s="1">
        <f t="shared" si="11"/>
        <v>0</v>
      </c>
      <c r="M60" s="1">
        <f t="shared" si="12"/>
        <v>121399651100</v>
      </c>
      <c r="N60" s="1">
        <f t="shared" si="13"/>
        <v>1.2696309437905279E-4</v>
      </c>
      <c r="O60" s="1">
        <f t="shared" si="14"/>
        <v>0</v>
      </c>
    </row>
    <row r="61" spans="8:15" x14ac:dyDescent="0.2">
      <c r="H61" s="1">
        <f t="shared" si="7"/>
        <v>11</v>
      </c>
      <c r="I61" s="1">
        <f t="shared" si="8"/>
        <v>50</v>
      </c>
      <c r="J61" s="1">
        <f t="shared" si="9"/>
        <v>0.41254465392346623</v>
      </c>
      <c r="K61" s="1">
        <f t="shared" si="10"/>
        <v>45</v>
      </c>
      <c r="L61" s="1">
        <f t="shared" si="11"/>
        <v>0</v>
      </c>
      <c r="M61" s="1">
        <f t="shared" si="12"/>
        <v>37353738799.999985</v>
      </c>
      <c r="N61" s="1">
        <f t="shared" si="13"/>
        <v>3.9562704722693075E-5</v>
      </c>
      <c r="O61" s="1">
        <f t="shared" si="14"/>
        <v>0</v>
      </c>
    </row>
    <row r="62" spans="8:15" x14ac:dyDescent="0.2">
      <c r="H62" s="1">
        <f t="shared" si="7"/>
        <v>10</v>
      </c>
      <c r="I62" s="1">
        <f t="shared" si="8"/>
        <v>50</v>
      </c>
      <c r="J62" s="1">
        <f t="shared" si="9"/>
        <v>0.38726175013529951</v>
      </c>
      <c r="K62" s="1">
        <f t="shared" si="10"/>
        <v>45</v>
      </c>
      <c r="L62" s="1">
        <f t="shared" si="11"/>
        <v>0</v>
      </c>
      <c r="M62" s="1">
        <f t="shared" si="12"/>
        <v>10272278170</v>
      </c>
      <c r="N62" s="1">
        <f t="shared" si="13"/>
        <v>1.1018196301753097E-5</v>
      </c>
      <c r="O62" s="1">
        <f t="shared" si="14"/>
        <v>0</v>
      </c>
    </row>
    <row r="63" spans="8:15" x14ac:dyDescent="0.2">
      <c r="H63" s="1">
        <f t="shared" si="7"/>
        <v>9</v>
      </c>
      <c r="I63" s="1">
        <f t="shared" si="8"/>
        <v>50</v>
      </c>
      <c r="J63" s="1">
        <f t="shared" si="9"/>
        <v>0.36352831552066922</v>
      </c>
      <c r="K63" s="1">
        <f t="shared" si="10"/>
        <v>45</v>
      </c>
      <c r="L63" s="1">
        <f t="shared" si="11"/>
        <v>0</v>
      </c>
      <c r="M63" s="1">
        <f t="shared" si="12"/>
        <v>2505433700</v>
      </c>
      <c r="N63" s="1">
        <f t="shared" si="13"/>
        <v>2.7215635882093531E-6</v>
      </c>
      <c r="O63" s="1">
        <f t="shared" si="14"/>
        <v>0</v>
      </c>
    </row>
    <row r="64" spans="8:15" x14ac:dyDescent="0.2">
      <c r="H64" s="1">
        <f t="shared" si="7"/>
        <v>8</v>
      </c>
      <c r="I64" s="1">
        <f t="shared" si="8"/>
        <v>50</v>
      </c>
      <c r="J64" s="1">
        <f t="shared" si="9"/>
        <v>0.34124939046813785</v>
      </c>
      <c r="K64" s="1">
        <f t="shared" si="10"/>
        <v>45</v>
      </c>
      <c r="L64" s="1">
        <f t="shared" si="11"/>
        <v>0</v>
      </c>
      <c r="M64" s="1">
        <f t="shared" si="12"/>
        <v>536878649.99999988</v>
      </c>
      <c r="N64" s="1">
        <f t="shared" si="13"/>
        <v>5.9061373431944732E-7</v>
      </c>
      <c r="O64" s="1">
        <f t="shared" si="14"/>
        <v>0</v>
      </c>
    </row>
    <row r="65" spans="8:15" x14ac:dyDescent="0.2">
      <c r="H65" s="1">
        <f t="shared" si="7"/>
        <v>7</v>
      </c>
      <c r="I65" s="1">
        <f t="shared" si="8"/>
        <v>50</v>
      </c>
      <c r="J65" s="1">
        <f t="shared" si="9"/>
        <v>0.32033583499014817</v>
      </c>
      <c r="K65" s="1">
        <f t="shared" si="10"/>
        <v>45</v>
      </c>
      <c r="L65" s="1">
        <f t="shared" si="11"/>
        <v>0</v>
      </c>
      <c r="M65" s="1">
        <f t="shared" si="12"/>
        <v>99884400</v>
      </c>
      <c r="N65" s="1">
        <f t="shared" si="13"/>
        <v>1.1127994707300821E-7</v>
      </c>
      <c r="O65" s="1">
        <f t="shared" si="14"/>
        <v>0</v>
      </c>
    </row>
    <row r="66" spans="8:15" x14ac:dyDescent="0.2">
      <c r="H66" s="1">
        <f t="shared" si="7"/>
        <v>6</v>
      </c>
      <c r="I66" s="1">
        <f t="shared" si="8"/>
        <v>50</v>
      </c>
      <c r="J66" s="1">
        <f t="shared" si="9"/>
        <v>0.30070397206589744</v>
      </c>
      <c r="K66" s="1">
        <f t="shared" si="10"/>
        <v>45</v>
      </c>
      <c r="L66" s="1">
        <f t="shared" si="11"/>
        <v>0</v>
      </c>
      <c r="M66" s="1">
        <f t="shared" si="12"/>
        <v>15890700</v>
      </c>
      <c r="N66" s="1">
        <f t="shared" si="13"/>
        <v>1.7928919241326918E-8</v>
      </c>
      <c r="O66" s="1">
        <f t="shared" si="14"/>
        <v>0</v>
      </c>
    </row>
    <row r="67" spans="8:15" x14ac:dyDescent="0.2">
      <c r="H67" s="1">
        <f t="shared" si="7"/>
        <v>5</v>
      </c>
      <c r="I67" s="1">
        <f t="shared" si="8"/>
        <v>50</v>
      </c>
      <c r="J67" s="1">
        <f t="shared" si="9"/>
        <v>0.28227525284203347</v>
      </c>
      <c r="K67" s="1">
        <f t="shared" si="10"/>
        <v>45</v>
      </c>
      <c r="L67" s="1">
        <f t="shared" si="11"/>
        <v>0</v>
      </c>
      <c r="M67" s="1">
        <f t="shared" si="12"/>
        <v>2118760</v>
      </c>
      <c r="N67" s="1">
        <f t="shared" si="13"/>
        <v>2.420943670898882E-9</v>
      </c>
      <c r="O67" s="1">
        <f t="shared" si="14"/>
        <v>0</v>
      </c>
    </row>
    <row r="68" spans="8:15" x14ac:dyDescent="0.2">
      <c r="H68" s="1">
        <f t="shared" si="7"/>
        <v>4</v>
      </c>
      <c r="I68" s="1">
        <f t="shared" si="8"/>
        <v>50</v>
      </c>
      <c r="J68" s="1">
        <f t="shared" si="9"/>
        <v>0.26497594235161193</v>
      </c>
      <c r="K68" s="1">
        <f t="shared" si="10"/>
        <v>45</v>
      </c>
      <c r="L68" s="1">
        <f t="shared" si="11"/>
        <v>0</v>
      </c>
      <c r="M68" s="1">
        <f t="shared" si="12"/>
        <v>230300</v>
      </c>
      <c r="N68" s="1">
        <f t="shared" si="13"/>
        <v>2.6649477245221407E-10</v>
      </c>
      <c r="O68" s="1">
        <f t="shared" si="14"/>
        <v>0</v>
      </c>
    </row>
    <row r="69" spans="8:15" x14ac:dyDescent="0.2">
      <c r="H69" s="1">
        <f t="shared" si="7"/>
        <v>3</v>
      </c>
      <c r="I69" s="1">
        <f t="shared" si="8"/>
        <v>50</v>
      </c>
      <c r="J69" s="1">
        <f t="shared" si="9"/>
        <v>0.24873682449384552</v>
      </c>
      <c r="K69" s="1">
        <f t="shared" si="10"/>
        <v>45</v>
      </c>
      <c r="L69" s="1">
        <f t="shared" si="11"/>
        <v>0</v>
      </c>
      <c r="M69" s="1">
        <f t="shared" si="12"/>
        <v>19600</v>
      </c>
      <c r="N69" s="1">
        <f t="shared" si="13"/>
        <v>2.2969030518072845E-11</v>
      </c>
      <c r="O69" s="1">
        <f t="shared" si="14"/>
        <v>0</v>
      </c>
    </row>
    <row r="70" spans="8:15" x14ac:dyDescent="0.2">
      <c r="H70" s="1">
        <f t="shared" si="7"/>
        <v>2</v>
      </c>
      <c r="I70" s="1">
        <f t="shared" si="8"/>
        <v>50</v>
      </c>
      <c r="J70" s="1">
        <f t="shared" si="9"/>
        <v>0.23349292509424577</v>
      </c>
      <c r="K70" s="1">
        <f t="shared" si="10"/>
        <v>45</v>
      </c>
      <c r="L70" s="1">
        <f t="shared" si="11"/>
        <v>0</v>
      </c>
      <c r="M70" s="1">
        <f t="shared" si="12"/>
        <v>1225</v>
      </c>
      <c r="N70" s="1">
        <f t="shared" si="13"/>
        <v>1.4538329888015115E-12</v>
      </c>
      <c r="O70" s="1">
        <f t="shared" si="14"/>
        <v>0</v>
      </c>
    </row>
    <row r="71" spans="8:15" x14ac:dyDescent="0.2">
      <c r="H71" s="1">
        <f t="shared" si="7"/>
        <v>1</v>
      </c>
      <c r="I71" s="1">
        <f t="shared" si="8"/>
        <v>50</v>
      </c>
      <c r="J71" s="1">
        <f t="shared" si="9"/>
        <v>0.21918325193709315</v>
      </c>
      <c r="K71" s="1">
        <f t="shared" si="10"/>
        <v>45</v>
      </c>
      <c r="L71" s="1">
        <f t="shared" si="11"/>
        <v>0</v>
      </c>
      <c r="M71" s="1">
        <f t="shared" si="12"/>
        <v>50</v>
      </c>
      <c r="N71" s="1">
        <f t="shared" si="13"/>
        <v>6.0095267386020316E-14</v>
      </c>
      <c r="O71" s="1">
        <f t="shared" si="14"/>
        <v>0</v>
      </c>
    </row>
    <row r="72" spans="8:15" x14ac:dyDescent="0.2">
      <c r="H72" s="1">
        <f t="shared" si="7"/>
        <v>0</v>
      </c>
      <c r="I72" s="1">
        <f t="shared" si="8"/>
        <v>50</v>
      </c>
      <c r="J72" s="1">
        <f t="shared" si="9"/>
        <v>0.20575055073008372</v>
      </c>
      <c r="K72" s="1">
        <f t="shared" si="10"/>
        <v>45</v>
      </c>
      <c r="L72" s="1">
        <f t="shared" si="11"/>
        <v>0</v>
      </c>
      <c r="M72" s="1">
        <f t="shared" si="12"/>
        <v>1</v>
      </c>
      <c r="N72" s="1">
        <f t="shared" si="13"/>
        <v>1.2172004508822339E-15</v>
      </c>
      <c r="O72" s="1">
        <f t="shared" si="14"/>
        <v>0</v>
      </c>
    </row>
    <row r="74" spans="8:15" x14ac:dyDescent="0.2">
      <c r="N74" s="1">
        <f>SUM(N22:N72)</f>
        <v>1</v>
      </c>
    </row>
    <row r="76" spans="8:15" x14ac:dyDescent="0.2">
      <c r="O76" s="1">
        <f>EXP(-E19)*SUM(O22:O72)</f>
        <v>7.637688305501996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/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35</v>
      </c>
    </row>
    <row r="3" spans="3:4" x14ac:dyDescent="0.2">
      <c r="C3" s="4" t="s">
        <v>3</v>
      </c>
      <c r="D3" s="5">
        <f>'Binomial n steps'!E6</f>
        <v>50</v>
      </c>
    </row>
    <row r="4" spans="3:4" x14ac:dyDescent="0.2">
      <c r="C4" s="6" t="s">
        <v>6</v>
      </c>
      <c r="D4" s="7">
        <f>'Binomial n steps'!E7</f>
        <v>45</v>
      </c>
    </row>
    <row r="5" spans="3:4" x14ac:dyDescent="0.2">
      <c r="C5" s="6" t="s">
        <v>8</v>
      </c>
      <c r="D5" s="7">
        <f>'Binomial n steps'!E2</f>
        <v>0.25</v>
      </c>
    </row>
    <row r="6" spans="3:4" x14ac:dyDescent="0.2">
      <c r="C6" s="6" t="s">
        <v>5</v>
      </c>
      <c r="D6" s="8">
        <f>'Binomial n steps'!E3/'Binomial n steps'!E2</f>
        <v>0.06</v>
      </c>
    </row>
    <row r="7" spans="3:4" x14ac:dyDescent="0.2">
      <c r="C7" s="9" t="s">
        <v>19</v>
      </c>
      <c r="D7" s="10">
        <f>'Binomial n steps'!E5</f>
        <v>0.44719999999999999</v>
      </c>
    </row>
    <row r="9" spans="3:4" x14ac:dyDescent="0.2">
      <c r="C9" s="1" t="s">
        <v>9</v>
      </c>
      <c r="D9" s="1">
        <f>D7^2</f>
        <v>0.19998784</v>
      </c>
    </row>
    <row r="11" spans="3:4" x14ac:dyDescent="0.2">
      <c r="C11" s="1" t="s">
        <v>10</v>
      </c>
      <c r="D11" s="1">
        <f>LN(D3/D4)</f>
        <v>0.10536051565782635</v>
      </c>
    </row>
    <row r="12" spans="3:4" x14ac:dyDescent="0.2">
      <c r="C12" s="1" t="s">
        <v>11</v>
      </c>
      <c r="D12" s="1">
        <f>(D6+D9/2)*D5</f>
        <v>3.9998480000000003E-2</v>
      </c>
    </row>
    <row r="13" spans="3:4" x14ac:dyDescent="0.2">
      <c r="C13" s="1" t="s">
        <v>12</v>
      </c>
      <c r="D13" s="1">
        <f>SQRT(D9*D5)</f>
        <v>0.22359999999999999</v>
      </c>
    </row>
    <row r="15" spans="3:4" x14ac:dyDescent="0.2">
      <c r="C15" s="1" t="s">
        <v>13</v>
      </c>
      <c r="D15" s="1">
        <f>(D11+D12)/D13</f>
        <v>0.65008495374698727</v>
      </c>
    </row>
    <row r="16" spans="3:4" x14ac:dyDescent="0.2">
      <c r="C16" s="1" t="s">
        <v>14</v>
      </c>
      <c r="D16" s="1">
        <f>D15-D13</f>
        <v>0.42648495374698725</v>
      </c>
    </row>
    <row r="18" spans="3:4" x14ac:dyDescent="0.2">
      <c r="C18" s="1" t="s">
        <v>15</v>
      </c>
      <c r="D18" s="1">
        <f>_xlfn.NORM.DIST(D15,0,1,1)</f>
        <v>0.74218132614868904</v>
      </c>
    </row>
    <row r="19" spans="3:4" x14ac:dyDescent="0.2">
      <c r="C19" s="1" t="s">
        <v>16</v>
      </c>
      <c r="D19" s="1">
        <f>_xlfn.NORM.DIST(D16,0,1,1)</f>
        <v>0.66512274524053905</v>
      </c>
    </row>
    <row r="21" spans="3:4" x14ac:dyDescent="0.2">
      <c r="C21" s="1" t="s">
        <v>17</v>
      </c>
      <c r="D21" s="1">
        <f>EXP(-D6*D5)</f>
        <v>0.98511193960306265</v>
      </c>
    </row>
    <row r="23" spans="3:4" x14ac:dyDescent="0.2">
      <c r="C23" s="12" t="s">
        <v>18</v>
      </c>
      <c r="D23" s="13"/>
    </row>
    <row r="24" spans="3:4" x14ac:dyDescent="0.2">
      <c r="C24" s="2" t="s">
        <v>7</v>
      </c>
      <c r="D24" s="3">
        <f>D3*D18-D4*D21*D19</f>
        <v>7.6241502137235031</v>
      </c>
    </row>
    <row r="26" spans="3:4" x14ac:dyDescent="0.2">
      <c r="C26" s="2" t="s">
        <v>22</v>
      </c>
      <c r="D26" s="11">
        <f>D24+D4*EXP(-1*D6*D5)-D3</f>
        <v>1.9541874958613192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Booklet BS</vt:lpstr>
      <vt:lpstr>Binomial n steps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2026-10-30T18:37:32Z</dcterms:modified>
</cp:coreProperties>
</file>