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yvind/Library/Mobile Documents/com~apple~CloudDocs/Documents/Teaching/Old/SelFin_2024/S09_options/"/>
    </mc:Choice>
  </mc:AlternateContent>
  <xr:revisionPtr revIDLastSave="0" documentId="13_ncr:1_{8572C900-A7D4-F242-99F9-A20E371C4D99}" xr6:coauthVersionLast="47" xr6:coauthVersionMax="47" xr10:uidLastSave="{00000000-0000-0000-0000-000000000000}"/>
  <bookViews>
    <workbookView xWindow="2620" yWindow="820" windowWidth="30860" windowHeight="19660" xr2:uid="{576FED04-51EF-B941-9509-7287B3CC88A6}"/>
  </bookViews>
  <sheets>
    <sheet name="Booklet BS" sheetId="7" r:id="rId1"/>
    <sheet name="Binomial one-step" sheetId="5" r:id="rId2"/>
    <sheet name="Binomial" sheetId="1" r:id="rId3"/>
    <sheet name="Black-Schole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1" i="1" l="1"/>
  <c r="AH10" i="1"/>
  <c r="AH9" i="1"/>
  <c r="AD7" i="1"/>
  <c r="AH8" i="1"/>
  <c r="D26" i="2"/>
  <c r="A4" i="7"/>
  <c r="B4" i="7" s="1"/>
  <c r="AH24" i="1"/>
  <c r="AH23" i="1"/>
  <c r="AH22" i="1"/>
  <c r="AH19" i="1"/>
  <c r="AH17" i="1"/>
  <c r="AH14" i="1"/>
  <c r="AH15" i="1"/>
  <c r="AH16" i="1" s="1"/>
  <c r="AH13" i="1"/>
  <c r="AH12" i="1"/>
  <c r="A6" i="7" l="1"/>
  <c r="C41" i="5" l="1"/>
  <c r="C40" i="5"/>
  <c r="C34" i="5"/>
  <c r="B30" i="5"/>
  <c r="L18" i="5"/>
  <c r="L19" i="5" s="1"/>
  <c r="L9" i="5" s="1"/>
  <c r="E29" i="5" s="1"/>
  <c r="AD16" i="1"/>
  <c r="D7" i="2" s="1"/>
  <c r="D9" i="2" s="1"/>
  <c r="N7" i="5"/>
  <c r="N9" i="5" s="1"/>
  <c r="C5" i="5"/>
  <c r="B5" i="5" s="1"/>
  <c r="D6" i="2"/>
  <c r="D5" i="2"/>
  <c r="D4" i="2"/>
  <c r="D3" i="2"/>
  <c r="AD17" i="1" l="1"/>
  <c r="AD8" i="1" s="1"/>
  <c r="AD14" i="1" s="1"/>
  <c r="G18" i="5"/>
  <c r="G20" i="5" s="1"/>
  <c r="F9" i="5"/>
  <c r="L10" i="5"/>
  <c r="E31" i="5" s="1"/>
  <c r="C35" i="5" s="1"/>
  <c r="F7" i="5"/>
  <c r="D21" i="2"/>
  <c r="D11" i="2"/>
  <c r="D13" i="2"/>
  <c r="D12" i="2"/>
  <c r="C36" i="5" l="1"/>
  <c r="C37" i="5" s="1"/>
  <c r="L16" i="5"/>
  <c r="G7" i="5" s="1"/>
  <c r="H7" i="5" s="1"/>
  <c r="G19" i="5"/>
  <c r="C9" i="5"/>
  <c r="E9" i="5" s="1"/>
  <c r="C7" i="5"/>
  <c r="B8" i="5" s="1"/>
  <c r="D15" i="2"/>
  <c r="D18" i="2" s="1"/>
  <c r="G9" i="5" l="1"/>
  <c r="H9" i="5" s="1"/>
  <c r="I9" i="5" s="1"/>
  <c r="E7" i="5"/>
  <c r="I7" i="5" s="1"/>
  <c r="D16" i="2"/>
  <c r="D19" i="2" s="1"/>
  <c r="D24" i="2" s="1"/>
  <c r="H11" i="5" l="1"/>
  <c r="I11" i="5"/>
  <c r="U3" i="1"/>
  <c r="T3" i="1" s="1"/>
  <c r="S3" i="1" s="1"/>
  <c r="R3" i="1" s="1"/>
  <c r="Q3" i="1" s="1"/>
  <c r="P3" i="1" s="1"/>
  <c r="O3" i="1" s="1"/>
  <c r="N3" i="1" s="1"/>
  <c r="M3" i="1" s="1"/>
  <c r="L3" i="1" s="1"/>
  <c r="K3" i="1" s="1"/>
  <c r="J3" i="1" s="1"/>
  <c r="I3" i="1" s="1"/>
  <c r="H3" i="1" s="1"/>
  <c r="G3" i="1" s="1"/>
  <c r="F3" i="1" s="1"/>
  <c r="E3" i="1" s="1"/>
  <c r="D3" i="1" s="1"/>
  <c r="C3" i="1" s="1"/>
  <c r="B3" i="1" s="1"/>
  <c r="AF5" i="1"/>
  <c r="X5" i="1" s="1"/>
  <c r="U5" i="1" l="1"/>
  <c r="AF7" i="1"/>
  <c r="X7" i="1" s="1"/>
  <c r="Y5" i="1" l="1"/>
  <c r="Z5" i="1" s="1"/>
  <c r="Y7" i="1"/>
  <c r="Z7" i="1" s="1"/>
  <c r="T6" i="1"/>
  <c r="S7" i="1" s="1"/>
  <c r="R8" i="1" s="1"/>
  <c r="Q9" i="1" s="1"/>
  <c r="P10" i="1" s="1"/>
  <c r="O11" i="1" s="1"/>
  <c r="N12" i="1" s="1"/>
  <c r="M13" i="1" s="1"/>
  <c r="L14" i="1" s="1"/>
  <c r="K15" i="1" s="1"/>
  <c r="J16" i="1" s="1"/>
  <c r="I17" i="1" s="1"/>
  <c r="H18" i="1" s="1"/>
  <c r="G19" i="1" s="1"/>
  <c r="F20" i="1" s="1"/>
  <c r="E21" i="1" s="1"/>
  <c r="D22" i="1" s="1"/>
  <c r="C23" i="1" s="1"/>
  <c r="B24" i="1" s="1"/>
  <c r="W5" i="1"/>
  <c r="AF9" i="1"/>
  <c r="X9" i="1" s="1"/>
  <c r="U7" i="1"/>
  <c r="AA5" i="1" l="1"/>
  <c r="Y9" i="1"/>
  <c r="Z9" i="1" s="1"/>
  <c r="T8" i="1"/>
  <c r="S9" i="1" s="1"/>
  <c r="R10" i="1" s="1"/>
  <c r="Q11" i="1" s="1"/>
  <c r="P12" i="1" s="1"/>
  <c r="O13" i="1" s="1"/>
  <c r="N14" i="1" s="1"/>
  <c r="M15" i="1" s="1"/>
  <c r="L16" i="1" s="1"/>
  <c r="K17" i="1" s="1"/>
  <c r="J18" i="1" s="1"/>
  <c r="I19" i="1" s="1"/>
  <c r="H20" i="1" s="1"/>
  <c r="G21" i="1" s="1"/>
  <c r="F22" i="1" s="1"/>
  <c r="E23" i="1" s="1"/>
  <c r="D24" i="1" s="1"/>
  <c r="C25" i="1" s="1"/>
  <c r="W7" i="1"/>
  <c r="AA7" i="1" s="1"/>
  <c r="AF11" i="1"/>
  <c r="U9" i="1"/>
  <c r="X11" i="1" l="1"/>
  <c r="Y11" i="1"/>
  <c r="T10" i="1"/>
  <c r="S11" i="1" s="1"/>
  <c r="R12" i="1" s="1"/>
  <c r="Q13" i="1" s="1"/>
  <c r="P14" i="1" s="1"/>
  <c r="O15" i="1" s="1"/>
  <c r="N16" i="1" s="1"/>
  <c r="M17" i="1" s="1"/>
  <c r="L18" i="1" s="1"/>
  <c r="K19" i="1" s="1"/>
  <c r="J20" i="1" s="1"/>
  <c r="I21" i="1" s="1"/>
  <c r="H22" i="1" s="1"/>
  <c r="G23" i="1" s="1"/>
  <c r="F24" i="1" s="1"/>
  <c r="E25" i="1" s="1"/>
  <c r="D26" i="1" s="1"/>
  <c r="W9" i="1"/>
  <c r="AA9" i="1" s="1"/>
  <c r="AF13" i="1"/>
  <c r="U11" i="1"/>
  <c r="Z11" i="1" l="1"/>
  <c r="X13" i="1"/>
  <c r="Y13" i="1"/>
  <c r="T12" i="1"/>
  <c r="S13" i="1" s="1"/>
  <c r="R14" i="1" s="1"/>
  <c r="Q15" i="1" s="1"/>
  <c r="P16" i="1" s="1"/>
  <c r="O17" i="1" s="1"/>
  <c r="N18" i="1" s="1"/>
  <c r="M19" i="1" s="1"/>
  <c r="L20" i="1" s="1"/>
  <c r="K21" i="1" s="1"/>
  <c r="J22" i="1" s="1"/>
  <c r="I23" i="1" s="1"/>
  <c r="H24" i="1" s="1"/>
  <c r="G25" i="1" s="1"/>
  <c r="F26" i="1" s="1"/>
  <c r="E27" i="1" s="1"/>
  <c r="W11" i="1"/>
  <c r="AF15" i="1"/>
  <c r="U13" i="1"/>
  <c r="AA11" i="1" l="1"/>
  <c r="Z13" i="1"/>
  <c r="X15" i="1"/>
  <c r="Y15" i="1"/>
  <c r="T14" i="1"/>
  <c r="S15" i="1" s="1"/>
  <c r="R16" i="1" s="1"/>
  <c r="Q17" i="1" s="1"/>
  <c r="P18" i="1" s="1"/>
  <c r="O19" i="1" s="1"/>
  <c r="N20" i="1" s="1"/>
  <c r="M21" i="1" s="1"/>
  <c r="L22" i="1" s="1"/>
  <c r="K23" i="1" s="1"/>
  <c r="J24" i="1" s="1"/>
  <c r="I25" i="1" s="1"/>
  <c r="H26" i="1" s="1"/>
  <c r="G27" i="1" s="1"/>
  <c r="F28" i="1" s="1"/>
  <c r="W13" i="1"/>
  <c r="AF17" i="1"/>
  <c r="U15" i="1"/>
  <c r="AA13" i="1" l="1"/>
  <c r="Z15" i="1"/>
  <c r="X17" i="1"/>
  <c r="Y17" i="1"/>
  <c r="T16" i="1"/>
  <c r="S17" i="1" s="1"/>
  <c r="R18" i="1" s="1"/>
  <c r="Q19" i="1" s="1"/>
  <c r="P20" i="1" s="1"/>
  <c r="O21" i="1" s="1"/>
  <c r="N22" i="1" s="1"/>
  <c r="M23" i="1" s="1"/>
  <c r="L24" i="1" s="1"/>
  <c r="K25" i="1" s="1"/>
  <c r="J26" i="1" s="1"/>
  <c r="I27" i="1" s="1"/>
  <c r="H28" i="1" s="1"/>
  <c r="G29" i="1" s="1"/>
  <c r="W15" i="1"/>
  <c r="AF19" i="1"/>
  <c r="U17" i="1"/>
  <c r="AA15" i="1" l="1"/>
  <c r="Z17" i="1"/>
  <c r="X19" i="1"/>
  <c r="Y19" i="1"/>
  <c r="T18" i="1"/>
  <c r="S19" i="1" s="1"/>
  <c r="R20" i="1" s="1"/>
  <c r="Q21" i="1" s="1"/>
  <c r="P22" i="1" s="1"/>
  <c r="O23" i="1" s="1"/>
  <c r="N24" i="1" s="1"/>
  <c r="M25" i="1" s="1"/>
  <c r="L26" i="1" s="1"/>
  <c r="K27" i="1" s="1"/>
  <c r="J28" i="1" s="1"/>
  <c r="I29" i="1" s="1"/>
  <c r="H30" i="1" s="1"/>
  <c r="W17" i="1"/>
  <c r="AF21" i="1"/>
  <c r="U19" i="1"/>
  <c r="AA17" i="1" l="1"/>
  <c r="Z19" i="1"/>
  <c r="X21" i="1"/>
  <c r="Y21" i="1"/>
  <c r="T20" i="1"/>
  <c r="S21" i="1" s="1"/>
  <c r="R22" i="1" s="1"/>
  <c r="Q23" i="1" s="1"/>
  <c r="P24" i="1" s="1"/>
  <c r="O25" i="1" s="1"/>
  <c r="N26" i="1" s="1"/>
  <c r="M27" i="1" s="1"/>
  <c r="L28" i="1" s="1"/>
  <c r="K29" i="1" s="1"/>
  <c r="J30" i="1" s="1"/>
  <c r="I31" i="1" s="1"/>
  <c r="W19" i="1"/>
  <c r="AF23" i="1"/>
  <c r="U21" i="1"/>
  <c r="AA19" i="1" l="1"/>
  <c r="Z21" i="1"/>
  <c r="X23" i="1"/>
  <c r="Y23" i="1"/>
  <c r="T22" i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W21" i="1"/>
  <c r="AF25" i="1"/>
  <c r="U23" i="1"/>
  <c r="AA21" i="1" l="1"/>
  <c r="Z23" i="1"/>
  <c r="X25" i="1"/>
  <c r="Y25" i="1"/>
  <c r="T24" i="1"/>
  <c r="S25" i="1" s="1"/>
  <c r="R26" i="1" s="1"/>
  <c r="Q27" i="1" s="1"/>
  <c r="P28" i="1" s="1"/>
  <c r="O29" i="1" s="1"/>
  <c r="N30" i="1" s="1"/>
  <c r="M31" i="1" s="1"/>
  <c r="L32" i="1" s="1"/>
  <c r="K33" i="1" s="1"/>
  <c r="W23" i="1"/>
  <c r="AF27" i="1"/>
  <c r="U25" i="1"/>
  <c r="AA23" i="1" l="1"/>
  <c r="Z25" i="1"/>
  <c r="X27" i="1"/>
  <c r="Y27" i="1"/>
  <c r="T26" i="1"/>
  <c r="S27" i="1" s="1"/>
  <c r="R28" i="1" s="1"/>
  <c r="Q29" i="1" s="1"/>
  <c r="P30" i="1" s="1"/>
  <c r="O31" i="1" s="1"/>
  <c r="N32" i="1" s="1"/>
  <c r="M33" i="1" s="1"/>
  <c r="L34" i="1" s="1"/>
  <c r="W25" i="1"/>
  <c r="AF29" i="1"/>
  <c r="U27" i="1"/>
  <c r="AA25" i="1" l="1"/>
  <c r="Z27" i="1"/>
  <c r="X29" i="1"/>
  <c r="Y29" i="1"/>
  <c r="T28" i="1"/>
  <c r="S29" i="1" s="1"/>
  <c r="R30" i="1" s="1"/>
  <c r="Q31" i="1" s="1"/>
  <c r="P32" i="1" s="1"/>
  <c r="O33" i="1" s="1"/>
  <c r="N34" i="1" s="1"/>
  <c r="M35" i="1" s="1"/>
  <c r="W27" i="1"/>
  <c r="AF31" i="1"/>
  <c r="U29" i="1"/>
  <c r="AA27" i="1" l="1"/>
  <c r="Z29" i="1"/>
  <c r="X31" i="1"/>
  <c r="Y31" i="1"/>
  <c r="T30" i="1"/>
  <c r="S31" i="1" s="1"/>
  <c r="R32" i="1" s="1"/>
  <c r="Q33" i="1" s="1"/>
  <c r="P34" i="1" s="1"/>
  <c r="O35" i="1" s="1"/>
  <c r="N36" i="1" s="1"/>
  <c r="W29" i="1"/>
  <c r="AF33" i="1"/>
  <c r="U31" i="1"/>
  <c r="AA29" i="1" l="1"/>
  <c r="Z31" i="1"/>
  <c r="X33" i="1"/>
  <c r="Y33" i="1"/>
  <c r="T32" i="1"/>
  <c r="S33" i="1" s="1"/>
  <c r="R34" i="1" s="1"/>
  <c r="Q35" i="1" s="1"/>
  <c r="P36" i="1" s="1"/>
  <c r="O37" i="1" s="1"/>
  <c r="W31" i="1"/>
  <c r="AF35" i="1"/>
  <c r="U33" i="1"/>
  <c r="L25" i="5" l="1"/>
  <c r="AA31" i="1"/>
  <c r="Z33" i="1"/>
  <c r="X35" i="1"/>
  <c r="Y35" i="1"/>
  <c r="T34" i="1"/>
  <c r="S35" i="1" s="1"/>
  <c r="R36" i="1" s="1"/>
  <c r="Q37" i="1" s="1"/>
  <c r="P38" i="1" s="1"/>
  <c r="W33" i="1"/>
  <c r="AF37" i="1"/>
  <c r="U35" i="1"/>
  <c r="AA33" i="1" l="1"/>
  <c r="Z35" i="1"/>
  <c r="X37" i="1"/>
  <c r="Y37" i="1"/>
  <c r="T36" i="1"/>
  <c r="S37" i="1" s="1"/>
  <c r="R38" i="1" s="1"/>
  <c r="Q39" i="1" s="1"/>
  <c r="W35" i="1"/>
  <c r="AF39" i="1"/>
  <c r="U37" i="1"/>
  <c r="AA35" i="1" l="1"/>
  <c r="Z37" i="1"/>
  <c r="X39" i="1"/>
  <c r="Y39" i="1"/>
  <c r="T38" i="1"/>
  <c r="S39" i="1" s="1"/>
  <c r="R40" i="1" s="1"/>
  <c r="W37" i="1"/>
  <c r="AF41" i="1"/>
  <c r="U39" i="1"/>
  <c r="AA37" i="1" l="1"/>
  <c r="Z39" i="1"/>
  <c r="X41" i="1"/>
  <c r="Y41" i="1"/>
  <c r="T40" i="1"/>
  <c r="S41" i="1" s="1"/>
  <c r="W39" i="1"/>
  <c r="AF43" i="1"/>
  <c r="Y43" i="1" s="1"/>
  <c r="U41" i="1"/>
  <c r="AA39" i="1" l="1"/>
  <c r="Z41" i="1"/>
  <c r="U43" i="1"/>
  <c r="W43" i="1" s="1"/>
  <c r="X43" i="1"/>
  <c r="Z43" i="1" s="1"/>
  <c r="T42" i="1"/>
  <c r="W41" i="1"/>
  <c r="AA41" i="1" l="1"/>
  <c r="Z46" i="1" a="1"/>
  <c r="AA43" i="1"/>
  <c r="X46" i="1" a="1"/>
  <c r="AA46" i="1" l="1" a="1"/>
  <c r="AD23" i="1" s="1"/>
  <c r="AD2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<sst xmlns="http://schemas.openxmlformats.org/spreadsheetml/2006/main" count="128" uniqueCount="75">
  <si>
    <t>u</t>
  </si>
  <si>
    <t>d</t>
  </si>
  <si>
    <t>n</t>
  </si>
  <si>
    <t>S0</t>
  </si>
  <si>
    <t>pi</t>
  </si>
  <si>
    <t>RF</t>
  </si>
  <si>
    <t>Period ref.</t>
  </si>
  <si>
    <t>K</t>
  </si>
  <si>
    <t>n choose k</t>
  </si>
  <si>
    <t>The above sum must be entered using shift+ctrl+enter on IBM PC</t>
  </si>
  <si>
    <t>The above sum must be entered using command+enter on a mac</t>
  </si>
  <si>
    <t>This sums even when there are non-numerical values in the column, such as #NUM!</t>
  </si>
  <si>
    <t>CT</t>
  </si>
  <si>
    <t>E(CT)</t>
  </si>
  <si>
    <t>pi^k*(1-pi)^(n-k)</t>
  </si>
  <si>
    <t>Risk Neutral prob</t>
  </si>
  <si>
    <t>C0</t>
  </si>
  <si>
    <t>T</t>
  </si>
  <si>
    <t>Vol^2</t>
  </si>
  <si>
    <t>ln(S/K)</t>
  </si>
  <si>
    <t>(Rf+vol/2)T</t>
  </si>
  <si>
    <t>sqrt(vol*T)</t>
  </si>
  <si>
    <t>d1</t>
  </si>
  <si>
    <t>d2</t>
  </si>
  <si>
    <t>N(d1)</t>
  </si>
  <si>
    <t>N(d2)</t>
  </si>
  <si>
    <t>e^(-RfT)</t>
  </si>
  <si>
    <t># ups</t>
  </si>
  <si>
    <t>k =</t>
  </si>
  <si>
    <t>n =</t>
  </si>
  <si>
    <t># periods</t>
  </si>
  <si>
    <t>T =</t>
  </si>
  <si>
    <t>Years</t>
  </si>
  <si>
    <t>Sigma</t>
  </si>
  <si>
    <t>Volatility (std)</t>
  </si>
  <si>
    <t>Sigma =</t>
  </si>
  <si>
    <t>Stock price at time 0</t>
  </si>
  <si>
    <t>S0 =</t>
  </si>
  <si>
    <t>RF =</t>
  </si>
  <si>
    <t>Annual risk free rate</t>
  </si>
  <si>
    <t>u =</t>
  </si>
  <si>
    <t>1 + up return</t>
  </si>
  <si>
    <t>d =</t>
  </si>
  <si>
    <t>1/u = down return</t>
  </si>
  <si>
    <t>C0 =</t>
  </si>
  <si>
    <t>Value of call</t>
  </si>
  <si>
    <t>Helper col</t>
  </si>
  <si>
    <t>INPUT</t>
  </si>
  <si>
    <t>Result</t>
  </si>
  <si>
    <t>Definitions</t>
  </si>
  <si>
    <t>Volatility</t>
  </si>
  <si>
    <t>Collected from the "Binomial sheet"</t>
  </si>
  <si>
    <t>Binomial - BlackScholes</t>
  </si>
  <si>
    <t>S0*u</t>
  </si>
  <si>
    <t>Su =</t>
  </si>
  <si>
    <t>Sd =</t>
  </si>
  <si>
    <t>S0*d</t>
  </si>
  <si>
    <t>Cu =</t>
  </si>
  <si>
    <t>max{0,Su-K}</t>
  </si>
  <si>
    <t>Cd =</t>
  </si>
  <si>
    <t>max{0,Sd-k)}</t>
  </si>
  <si>
    <t>r</t>
  </si>
  <si>
    <t>Risk Neu-</t>
  </si>
  <si>
    <t>tral prob.</t>
  </si>
  <si>
    <t>(1-pi)^(n-k)</t>
  </si>
  <si>
    <t>pi^k*</t>
  </si>
  <si>
    <t>delta</t>
  </si>
  <si>
    <t>D</t>
  </si>
  <si>
    <t>Discrete option pricing</t>
  </si>
  <si>
    <t>Continous option pricing</t>
  </si>
  <si>
    <t>E(R_T)</t>
  </si>
  <si>
    <t>p</t>
  </si>
  <si>
    <t>R_S</t>
  </si>
  <si>
    <t>sigma</t>
  </si>
  <si>
    <t>P0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</si>
</sst>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"/>
    <numFmt numFmtId="167" formatCode="0.00000000"/>
  </numFmts>
  <fonts count="7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34998626667073579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2" borderId="0" xfId="0" applyFill="1"/>
    <xf numFmtId="2" fontId="0" fillId="2" borderId="0" xfId="0" applyNumberFormat="1" applyFill="1"/>
    <xf numFmtId="1" fontId="0" fillId="2" borderId="0" xfId="0" applyNumberFormat="1" applyFill="1"/>
    <xf numFmtId="165" fontId="0" fillId="2" borderId="0" xfId="0" applyNumberFormat="1" applyFill="1"/>
    <xf numFmtId="164" fontId="0" fillId="2" borderId="0" xfId="0" applyNumberFormat="1" applyFill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1" xfId="0" applyFont="1" applyFill="1" applyBorder="1" applyAlignment="1">
      <alignment horizontal="right"/>
    </xf>
    <xf numFmtId="0" fontId="1" fillId="3" borderId="2" xfId="0" applyFont="1" applyFill="1" applyBorder="1" applyAlignment="1">
      <alignment horizontal="right"/>
    </xf>
    <xf numFmtId="0" fontId="1" fillId="3" borderId="3" xfId="0" applyFont="1" applyFill="1" applyBorder="1" applyAlignment="1">
      <alignment horizontal="right"/>
    </xf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8" xfId="0" applyFill="1" applyBorder="1"/>
    <xf numFmtId="0" fontId="0" fillId="4" borderId="9" xfId="0" applyFill="1" applyBorder="1"/>
    <xf numFmtId="0" fontId="0" fillId="4" borderId="6" xfId="0" applyFill="1" applyBorder="1"/>
    <xf numFmtId="0" fontId="0" fillId="4" borderId="7" xfId="0" applyFill="1" applyBorder="1"/>
    <xf numFmtId="0" fontId="0" fillId="5" borderId="1" xfId="0" applyFill="1" applyBorder="1"/>
    <xf numFmtId="2" fontId="0" fillId="5" borderId="3" xfId="0" applyNumberFormat="1" applyFill="1" applyBorder="1"/>
    <xf numFmtId="0" fontId="0" fillId="4" borderId="1" xfId="0" applyFill="1" applyBorder="1"/>
    <xf numFmtId="0" fontId="0" fillId="4" borderId="3" xfId="0" applyFill="1" applyBorder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8" xfId="0" applyFont="1" applyFill="1" applyBorder="1"/>
    <xf numFmtId="0" fontId="3" fillId="2" borderId="9" xfId="0" applyFont="1" applyFill="1" applyBorder="1"/>
    <xf numFmtId="166" fontId="3" fillId="2" borderId="9" xfId="0" applyNumberFormat="1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5" fillId="7" borderId="10" xfId="0" applyFont="1" applyFill="1" applyBorder="1"/>
    <xf numFmtId="0" fontId="5" fillId="7" borderId="11" xfId="0" applyFont="1" applyFill="1" applyBorder="1"/>
    <xf numFmtId="0" fontId="0" fillId="8" borderId="10" xfId="0" applyFill="1" applyBorder="1"/>
    <xf numFmtId="0" fontId="0" fillId="8" borderId="12" xfId="0" applyFill="1" applyBorder="1"/>
    <xf numFmtId="0" fontId="0" fillId="8" borderId="11" xfId="0" applyFill="1" applyBorder="1"/>
    <xf numFmtId="2" fontId="4" fillId="2" borderId="0" xfId="0" applyNumberFormat="1" applyFont="1" applyFill="1"/>
    <xf numFmtId="2" fontId="0" fillId="2" borderId="0" xfId="0" applyNumberFormat="1" applyFill="1" applyAlignment="1">
      <alignment horizontal="left"/>
    </xf>
    <xf numFmtId="0" fontId="6" fillId="6" borderId="4" xfId="0" applyFont="1" applyFill="1" applyBorder="1"/>
    <xf numFmtId="0" fontId="6" fillId="6" borderId="13" xfId="0" applyFont="1" applyFill="1" applyBorder="1"/>
    <xf numFmtId="0" fontId="6" fillId="6" borderId="5" xfId="0" applyFont="1" applyFill="1" applyBorder="1"/>
    <xf numFmtId="0" fontId="1" fillId="6" borderId="6" xfId="0" applyFont="1" applyFill="1" applyBorder="1"/>
    <xf numFmtId="0" fontId="1" fillId="6" borderId="14" xfId="0" applyFont="1" applyFill="1" applyBorder="1"/>
    <xf numFmtId="0" fontId="1" fillId="6" borderId="7" xfId="0" applyFont="1" applyFill="1" applyBorder="1"/>
    <xf numFmtId="0" fontId="0" fillId="6" borderId="4" xfId="0" applyFill="1" applyBorder="1"/>
    <xf numFmtId="0" fontId="0" fillId="6" borderId="13" xfId="0" applyFill="1" applyBorder="1"/>
    <xf numFmtId="0" fontId="0" fillId="6" borderId="5" xfId="0" applyFill="1" applyBorder="1"/>
    <xf numFmtId="0" fontId="1" fillId="6" borderId="6" xfId="0" applyFont="1" applyFill="1" applyBorder="1" applyAlignment="1">
      <alignment horizontal="right"/>
    </xf>
    <xf numFmtId="0" fontId="1" fillId="6" borderId="14" xfId="0" applyFont="1" applyFill="1" applyBorder="1" applyAlignment="1">
      <alignment horizontal="right"/>
    </xf>
    <xf numFmtId="0" fontId="1" fillId="6" borderId="7" xfId="0" applyFont="1" applyFill="1" applyBorder="1" applyAlignment="1">
      <alignment horizontal="right"/>
    </xf>
    <xf numFmtId="0" fontId="1" fillId="6" borderId="13" xfId="0" applyFont="1" applyFill="1" applyBorder="1" applyAlignment="1">
      <alignment horizontal="right"/>
    </xf>
    <xf numFmtId="0" fontId="6" fillId="6" borderId="13" xfId="0" applyFont="1" applyFill="1" applyBorder="1" applyAlignment="1">
      <alignment horizontal="right"/>
    </xf>
    <xf numFmtId="1" fontId="4" fillId="2" borderId="0" xfId="0" applyNumberFormat="1" applyFont="1" applyFill="1"/>
    <xf numFmtId="1" fontId="0" fillId="9" borderId="0" xfId="0" applyNumberFormat="1" applyFill="1"/>
    <xf numFmtId="1" fontId="0" fillId="11" borderId="0" xfId="0" applyNumberFormat="1" applyFill="1"/>
    <xf numFmtId="1" fontId="0" fillId="10" borderId="0" xfId="0" applyNumberFormat="1" applyFill="1"/>
    <xf numFmtId="164" fontId="0" fillId="4" borderId="3" xfId="0" applyNumberFormat="1" applyFill="1" applyBorder="1" applyAlignment="1">
      <alignment horizontal="right"/>
    </xf>
    <xf numFmtId="0" fontId="0" fillId="5" borderId="3" xfId="0" applyFill="1" applyBorder="1"/>
    <xf numFmtId="166" fontId="0" fillId="2" borderId="0" xfId="0" applyNumberFormat="1" applyFill="1"/>
    <xf numFmtId="165" fontId="0" fillId="0" borderId="0" xfId="0" applyNumberFormat="1"/>
    <xf numFmtId="2" fontId="0" fillId="0" borderId="0" xfId="0" applyNumberFormat="1"/>
    <xf numFmtId="167" fontId="0" fillId="2" borderId="0" xfId="0" applyNumberFormat="1" applyFill="1"/>
    <xf numFmtId="0" fontId="1" fillId="6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B3B0E-BA56-A649-97E2-F621DBC2C161}">
  <dimension ref="A1:E6"/>
  <sheetViews>
    <sheetView tabSelected="1" workbookViewId="0">
      <selection activeCell="A9" sqref="A9"/>
    </sheetView>
  </sheetViews>
  <sheetFormatPr baseColWidth="10" defaultRowHeight="16" x14ac:dyDescent="0.2"/>
  <sheetData>
    <row r="1" spans="1:5" x14ac:dyDescent="0.2">
      <c r="A1" t="s">
        <v>3</v>
      </c>
      <c r="B1" t="s">
        <v>7</v>
      </c>
      <c r="C1" t="s">
        <v>61</v>
      </c>
      <c r="D1" t="s">
        <v>73</v>
      </c>
      <c r="E1" t="s">
        <v>17</v>
      </c>
    </row>
    <row r="2" spans="1:5" x14ac:dyDescent="0.2">
      <c r="A2">
        <v>50</v>
      </c>
      <c r="B2">
        <v>45</v>
      </c>
      <c r="C2">
        <v>0.06</v>
      </c>
      <c r="D2">
        <v>0.447214</v>
      </c>
      <c r="E2">
        <v>0.25</v>
      </c>
    </row>
    <row r="3" spans="1:5" x14ac:dyDescent="0.2">
      <c r="A3" t="s">
        <v>22</v>
      </c>
      <c r="B3" t="s">
        <v>23</v>
      </c>
    </row>
    <row r="4" spans="1:5" x14ac:dyDescent="0.2">
      <c r="A4" s="61">
        <f>(LN(A2/B2)+(C2+D2^2/2)*E2)/(D2*SQRT(E2))</f>
        <v>0.65007160277775899</v>
      </c>
      <c r="B4" s="61">
        <f>A4-D2*SQRT(E2)</f>
        <v>0.42646460277775899</v>
      </c>
    </row>
    <row r="5" spans="1:5" x14ac:dyDescent="0.2">
      <c r="A5" t="s">
        <v>16</v>
      </c>
    </row>
    <row r="6" spans="1:5" x14ac:dyDescent="0.2">
      <c r="A6" s="62">
        <f>A2*_xlfn.NORM.DIST(A4,0,1,TRUE)-B2*EXP(-C2*E2)*_xlfn.NORM.DIST(B4,0,1,TRUE)</f>
        <v>7.6242632482975914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14BFF-A918-B44C-B103-BD8B9F348418}">
  <dimension ref="A3:N51"/>
  <sheetViews>
    <sheetView zoomScaleNormal="100" workbookViewId="0">
      <selection activeCell="G40" sqref="G40"/>
    </sheetView>
  </sheetViews>
  <sheetFormatPr baseColWidth="10" defaultRowHeight="16" x14ac:dyDescent="0.2"/>
  <cols>
    <col min="1" max="1" width="3.83203125" style="1" customWidth="1"/>
    <col min="2" max="3" width="6.6640625" style="1" customWidth="1"/>
    <col min="4" max="4" width="5.6640625" style="1" customWidth="1"/>
    <col min="5" max="5" width="8" style="1" customWidth="1"/>
    <col min="6" max="6" width="14.6640625" style="1" customWidth="1"/>
    <col min="7" max="8" width="17" style="1" customWidth="1"/>
    <col min="9" max="12" width="10.83203125" style="1"/>
    <col min="13" max="13" width="39.5" style="1" customWidth="1"/>
    <col min="14" max="14" width="9.1640625" style="1" customWidth="1"/>
    <col min="15" max="16384" width="10.83203125" style="1"/>
  </cols>
  <sheetData>
    <row r="3" spans="1:14" x14ac:dyDescent="0.2">
      <c r="B3" s="6" t="s">
        <v>69</v>
      </c>
      <c r="C3" s="7"/>
      <c r="D3" s="7"/>
      <c r="E3" s="7"/>
      <c r="F3" s="7"/>
      <c r="G3" s="7"/>
      <c r="H3" s="7"/>
      <c r="I3" s="8"/>
    </row>
    <row r="4" spans="1:14" x14ac:dyDescent="0.2">
      <c r="N4" s="33" t="s">
        <v>46</v>
      </c>
    </row>
    <row r="5" spans="1:14" x14ac:dyDescent="0.2">
      <c r="B5" s="7">
        <f>C5-1</f>
        <v>2</v>
      </c>
      <c r="C5" s="8">
        <f>L8</f>
        <v>3</v>
      </c>
      <c r="E5" s="9" t="s">
        <v>12</v>
      </c>
      <c r="F5" s="10" t="s">
        <v>8</v>
      </c>
      <c r="G5" s="10" t="s">
        <v>14</v>
      </c>
      <c r="H5" s="10" t="s">
        <v>15</v>
      </c>
      <c r="I5" s="11" t="s">
        <v>13</v>
      </c>
      <c r="K5" s="66" t="s">
        <v>47</v>
      </c>
      <c r="L5" s="67"/>
      <c r="N5" s="34" t="s">
        <v>6</v>
      </c>
    </row>
    <row r="6" spans="1:14" x14ac:dyDescent="0.2">
      <c r="N6" s="35"/>
    </row>
    <row r="7" spans="1:14" x14ac:dyDescent="0.2">
      <c r="A7" s="2"/>
      <c r="B7" s="38"/>
      <c r="C7" s="38">
        <f>$L$11*($L$9^N7)*($L$10^($L$8-N7))</f>
        <v>73.649793569668603</v>
      </c>
      <c r="D7" s="2"/>
      <c r="E7" s="2">
        <f>MAX(0,C7-$L$13)</f>
        <v>28.649793569668603</v>
      </c>
      <c r="F7" s="3">
        <f>COMBIN($L$8,N7)</f>
        <v>1</v>
      </c>
      <c r="G7" s="4">
        <f>($L$16^N7)*((1-$L$16)^($L$8-N7))</f>
        <v>0.11559345252406852</v>
      </c>
      <c r="H7" s="5">
        <f>F7*G7</f>
        <v>0.11559345252406852</v>
      </c>
      <c r="I7" s="2">
        <f>E7*H7</f>
        <v>3.3117285528198512</v>
      </c>
      <c r="K7" s="12" t="s">
        <v>17</v>
      </c>
      <c r="L7" s="13">
        <v>0.25</v>
      </c>
      <c r="N7" s="36">
        <f>L8</f>
        <v>3</v>
      </c>
    </row>
    <row r="8" spans="1:14" x14ac:dyDescent="0.2">
      <c r="A8" s="2"/>
      <c r="B8" s="38">
        <f>C7/$L$9</f>
        <v>64.729813747323874</v>
      </c>
      <c r="C8" s="38"/>
      <c r="D8" s="2"/>
      <c r="E8" s="2"/>
      <c r="F8" s="3"/>
      <c r="G8" s="4"/>
      <c r="H8" s="5"/>
      <c r="I8" s="2"/>
      <c r="K8" s="14" t="s">
        <v>2</v>
      </c>
      <c r="L8" s="15">
        <v>3</v>
      </c>
      <c r="N8" s="36"/>
    </row>
    <row r="9" spans="1:14" x14ac:dyDescent="0.2">
      <c r="A9" s="2"/>
      <c r="B9" s="38"/>
      <c r="C9" s="38">
        <f>$L$11*($L$9^N9)*($L$10^($L$8-N9))</f>
        <v>56.890163362097979</v>
      </c>
      <c r="D9" s="2"/>
      <c r="E9" s="2">
        <f>MAX(0,C9-$L$13)</f>
        <v>11.890163362097979</v>
      </c>
      <c r="F9" s="3">
        <f>COMBIN($L$8,N9)</f>
        <v>3</v>
      </c>
      <c r="G9" s="4">
        <f>($L$16^N9)*((1-$L$16)^($L$8-N9))</f>
        <v>0.12170167653171875</v>
      </c>
      <c r="H9" s="5">
        <f>F9*G9</f>
        <v>0.36510502959515623</v>
      </c>
      <c r="I9" s="2">
        <f>E9*H9</f>
        <v>4.3411584462100254</v>
      </c>
      <c r="K9" s="1" t="s">
        <v>0</v>
      </c>
      <c r="L9" s="2">
        <f>L19</f>
        <v>1.1378032672419593</v>
      </c>
      <c r="N9" s="37">
        <f>N7-1</f>
        <v>2</v>
      </c>
    </row>
    <row r="10" spans="1:14" x14ac:dyDescent="0.2">
      <c r="A10" s="2"/>
      <c r="K10" s="1" t="s">
        <v>1</v>
      </c>
      <c r="L10" s="2">
        <f>1/L9</f>
        <v>0.87888656043676594</v>
      </c>
    </row>
    <row r="11" spans="1:14" x14ac:dyDescent="0.2">
      <c r="A11" s="2"/>
      <c r="H11" s="5">
        <f>SUM(H7:H9)</f>
        <v>0.48069848211922472</v>
      </c>
      <c r="I11" s="5">
        <f>SUM(I7:I9)</f>
        <v>7.6528869990298762</v>
      </c>
      <c r="K11" s="16" t="s">
        <v>3</v>
      </c>
      <c r="L11" s="17">
        <v>50</v>
      </c>
    </row>
    <row r="12" spans="1:14" x14ac:dyDescent="0.2">
      <c r="A12" s="2"/>
      <c r="K12" s="18" t="s">
        <v>5</v>
      </c>
      <c r="L12" s="19">
        <v>0.06</v>
      </c>
    </row>
    <row r="13" spans="1:14" x14ac:dyDescent="0.2">
      <c r="A13" s="2"/>
      <c r="K13" s="20" t="s">
        <v>7</v>
      </c>
      <c r="L13" s="21">
        <v>45</v>
      </c>
    </row>
    <row r="14" spans="1:14" x14ac:dyDescent="0.2">
      <c r="A14" s="2"/>
    </row>
    <row r="15" spans="1:14" x14ac:dyDescent="0.2">
      <c r="A15" s="2"/>
      <c r="L15" s="5"/>
    </row>
    <row r="16" spans="1:14" x14ac:dyDescent="0.2">
      <c r="A16" s="2"/>
      <c r="K16" s="1" t="s">
        <v>4</v>
      </c>
      <c r="L16" s="5">
        <f>(EXP(L12*(L7/L8))-L10)/(L9-L10)</f>
        <v>0.48712947873823781</v>
      </c>
    </row>
    <row r="17" spans="1:12" x14ac:dyDescent="0.2">
      <c r="A17" s="2"/>
      <c r="F17" s="3"/>
    </row>
    <row r="18" spans="1:12" x14ac:dyDescent="0.2">
      <c r="A18" s="2"/>
      <c r="E18" s="1" t="s">
        <v>54</v>
      </c>
      <c r="F18" s="1" t="s">
        <v>53</v>
      </c>
      <c r="G18" s="39">
        <f>L19*L11</f>
        <v>56.890163362097965</v>
      </c>
      <c r="K18" s="24" t="s">
        <v>33</v>
      </c>
      <c r="L18" s="58">
        <f>SQRT(0.2)</f>
        <v>0.44721359549995793</v>
      </c>
    </row>
    <row r="19" spans="1:12" x14ac:dyDescent="0.2">
      <c r="A19" s="2"/>
      <c r="E19" s="1" t="s">
        <v>55</v>
      </c>
      <c r="F19" s="1" t="s">
        <v>56</v>
      </c>
      <c r="G19" s="39">
        <f>L10*L11</f>
        <v>43.944328021838295</v>
      </c>
      <c r="K19" s="1" t="s">
        <v>0</v>
      </c>
      <c r="L19" s="2">
        <f>EXP(L18*SQRT(L7/L8))</f>
        <v>1.1378032672419593</v>
      </c>
    </row>
    <row r="20" spans="1:12" x14ac:dyDescent="0.2">
      <c r="A20" s="2"/>
      <c r="E20" s="1" t="s">
        <v>57</v>
      </c>
      <c r="F20" s="1" t="s">
        <v>58</v>
      </c>
      <c r="G20" s="39">
        <f>MAX(0,G18-L13)</f>
        <v>11.890163362097965</v>
      </c>
    </row>
    <row r="21" spans="1:12" x14ac:dyDescent="0.2">
      <c r="A21" s="2"/>
      <c r="E21" s="1" t="s">
        <v>59</v>
      </c>
      <c r="F21" s="1" t="s">
        <v>60</v>
      </c>
      <c r="G21" s="39">
        <v>0</v>
      </c>
    </row>
    <row r="22" spans="1:12" x14ac:dyDescent="0.2">
      <c r="A22" s="2"/>
    </row>
    <row r="23" spans="1:12" x14ac:dyDescent="0.2">
      <c r="A23" s="2"/>
    </row>
    <row r="24" spans="1:12" x14ac:dyDescent="0.2">
      <c r="A24" s="2"/>
      <c r="K24" s="66" t="s">
        <v>48</v>
      </c>
      <c r="L24" s="67"/>
    </row>
    <row r="25" spans="1:12" x14ac:dyDescent="0.2">
      <c r="A25" s="2"/>
      <c r="B25" s="6" t="s">
        <v>68</v>
      </c>
      <c r="C25" s="7"/>
      <c r="D25" s="7"/>
      <c r="E25" s="7"/>
      <c r="F25" s="7"/>
      <c r="G25" s="7"/>
      <c r="H25" s="7"/>
      <c r="I25" s="8"/>
      <c r="K25" s="22" t="s">
        <v>16</v>
      </c>
      <c r="L25" s="23">
        <f>I11*EXP(-L12*L7)</f>
        <v>7.5389503551773824</v>
      </c>
    </row>
    <row r="26" spans="1:12" x14ac:dyDescent="0.2">
      <c r="A26" s="2"/>
    </row>
    <row r="27" spans="1:12" x14ac:dyDescent="0.2">
      <c r="A27" s="2"/>
      <c r="B27" s="6">
        <v>0</v>
      </c>
      <c r="C27" s="8">
        <v>1</v>
      </c>
      <c r="E27" s="9" t="s">
        <v>12</v>
      </c>
    </row>
    <row r="28" spans="1:12" x14ac:dyDescent="0.2">
      <c r="A28" s="2"/>
    </row>
    <row r="29" spans="1:12" x14ac:dyDescent="0.2">
      <c r="A29" s="2"/>
      <c r="B29" s="38"/>
      <c r="C29" s="54">
        <v>63</v>
      </c>
      <c r="D29" s="2"/>
      <c r="E29" s="2">
        <f>MAX(0,C29-$L$13)</f>
        <v>18</v>
      </c>
    </row>
    <row r="30" spans="1:12" x14ac:dyDescent="0.2">
      <c r="A30" s="2"/>
      <c r="B30" s="38">
        <f>L11</f>
        <v>50</v>
      </c>
      <c r="C30" s="38"/>
      <c r="D30" s="2"/>
      <c r="E30" s="2"/>
    </row>
    <row r="31" spans="1:12" x14ac:dyDescent="0.2">
      <c r="A31" s="2"/>
      <c r="B31" s="38"/>
      <c r="C31" s="54">
        <v>40</v>
      </c>
      <c r="D31" s="2"/>
      <c r="E31" s="2">
        <f>MAX(0,C31-$L$13)</f>
        <v>0</v>
      </c>
    </row>
    <row r="32" spans="1:12" x14ac:dyDescent="0.2">
      <c r="A32" s="2"/>
      <c r="K32" s="66" t="s">
        <v>49</v>
      </c>
      <c r="L32" s="67"/>
    </row>
    <row r="33" spans="1:12" x14ac:dyDescent="0.2">
      <c r="A33" s="2"/>
      <c r="K33" s="1" t="s">
        <v>31</v>
      </c>
      <c r="L33" s="1" t="s">
        <v>32</v>
      </c>
    </row>
    <row r="34" spans="1:12" x14ac:dyDescent="0.2">
      <c r="A34" s="2"/>
      <c r="B34" s="1" t="s">
        <v>61</v>
      </c>
      <c r="C34" s="1">
        <f>L12/4</f>
        <v>1.4999999999999999E-2</v>
      </c>
      <c r="K34" s="1" t="s">
        <v>29</v>
      </c>
      <c r="L34" s="1" t="s">
        <v>30</v>
      </c>
    </row>
    <row r="35" spans="1:12" x14ac:dyDescent="0.2">
      <c r="A35" s="2"/>
      <c r="B35" s="1" t="s">
        <v>66</v>
      </c>
      <c r="C35" s="2">
        <f>(E29-E31)/(C29-C31)</f>
        <v>0.78260869565217395</v>
      </c>
      <c r="K35" s="1" t="s">
        <v>40</v>
      </c>
      <c r="L35" s="1" t="s">
        <v>41</v>
      </c>
    </row>
    <row r="36" spans="1:12" x14ac:dyDescent="0.2">
      <c r="A36" s="2"/>
      <c r="B36" s="1" t="s">
        <v>67</v>
      </c>
      <c r="C36" s="1">
        <f>(C35*C29-E29)/(1+C34)</f>
        <v>30.841721996144791</v>
      </c>
      <c r="K36" s="1" t="s">
        <v>42</v>
      </c>
      <c r="L36" s="1" t="s">
        <v>43</v>
      </c>
    </row>
    <row r="37" spans="1:12" x14ac:dyDescent="0.2">
      <c r="A37" s="2"/>
      <c r="B37" s="22" t="s">
        <v>16</v>
      </c>
      <c r="C37" s="23">
        <f>C35*B30-C36</f>
        <v>8.2887127864639041</v>
      </c>
      <c r="K37" s="1" t="s">
        <v>37</v>
      </c>
      <c r="L37" s="1" t="s">
        <v>36</v>
      </c>
    </row>
    <row r="38" spans="1:12" x14ac:dyDescent="0.2">
      <c r="A38" s="2"/>
      <c r="K38" s="1" t="s">
        <v>38</v>
      </c>
      <c r="L38" s="1" t="s">
        <v>39</v>
      </c>
    </row>
    <row r="39" spans="1:12" x14ac:dyDescent="0.2">
      <c r="A39" s="2"/>
      <c r="B39" s="24" t="s">
        <v>71</v>
      </c>
      <c r="C39" s="25">
        <v>0.6</v>
      </c>
      <c r="K39" s="1" t="s">
        <v>35</v>
      </c>
      <c r="L39" s="1" t="s">
        <v>34</v>
      </c>
    </row>
    <row r="40" spans="1:12" x14ac:dyDescent="0.2">
      <c r="A40" s="2"/>
      <c r="B40" s="1" t="s">
        <v>70</v>
      </c>
      <c r="C40" s="1">
        <f>C39*C29+(1-C39)*C31</f>
        <v>53.8</v>
      </c>
      <c r="K40" s="1" t="s">
        <v>28</v>
      </c>
      <c r="L40" s="1" t="s">
        <v>27</v>
      </c>
    </row>
    <row r="41" spans="1:12" x14ac:dyDescent="0.2">
      <c r="A41" s="2"/>
      <c r="B41" s="1" t="s">
        <v>72</v>
      </c>
      <c r="C41" s="1">
        <f>C40/B30-1</f>
        <v>7.5999999999999845E-2</v>
      </c>
      <c r="K41" s="1" t="s">
        <v>44</v>
      </c>
      <c r="L41" s="1" t="s">
        <v>45</v>
      </c>
    </row>
    <row r="42" spans="1:12" x14ac:dyDescent="0.2">
      <c r="A42" s="2"/>
    </row>
    <row r="48" spans="1:12" x14ac:dyDescent="0.2">
      <c r="J48" s="5"/>
    </row>
    <row r="51" spans="1:9" x14ac:dyDescent="0.2">
      <c r="A51"/>
      <c r="I51"/>
    </row>
  </sheetData>
  <mergeCells count="3">
    <mergeCell ref="K5:L5"/>
    <mergeCell ref="K24:L24"/>
    <mergeCell ref="K32:L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39CD0-6AEF-0E46-91B1-61EF7EF49CD6}">
  <dimension ref="A2:AH52"/>
  <sheetViews>
    <sheetView topLeftCell="AB1" zoomScaleNormal="100" workbookViewId="0">
      <selection activeCell="AC33" sqref="AC33"/>
    </sheetView>
  </sheetViews>
  <sheetFormatPr baseColWidth="10" defaultRowHeight="16" x14ac:dyDescent="0.2"/>
  <cols>
    <col min="1" max="1" width="3.83203125" style="1" customWidth="1"/>
    <col min="2" max="20" width="4.83203125" style="1" customWidth="1"/>
    <col min="21" max="21" width="5.5" style="1" customWidth="1"/>
    <col min="22" max="22" width="3.83203125" style="1" customWidth="1"/>
    <col min="23" max="23" width="6.5" style="1" customWidth="1"/>
    <col min="24" max="24" width="9.33203125" style="1" customWidth="1"/>
    <col min="25" max="25" width="13.1640625" style="1" customWidth="1"/>
    <col min="26" max="26" width="10.33203125" style="1" customWidth="1"/>
    <col min="27" max="27" width="8.33203125" style="1" customWidth="1"/>
    <col min="28" max="28" width="10.83203125" style="1"/>
    <col min="29" max="30" width="10.5" style="1" customWidth="1"/>
    <col min="31" max="31" width="31.1640625" style="1" customWidth="1"/>
    <col min="32" max="32" width="9.1640625" style="1" customWidth="1"/>
    <col min="33" max="16384" width="10.83203125" style="1"/>
  </cols>
  <sheetData>
    <row r="2" spans="1:34" x14ac:dyDescent="0.2">
      <c r="B2" s="40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2"/>
      <c r="W2" s="46"/>
      <c r="X2" s="47"/>
      <c r="Y2" s="53" t="s">
        <v>65</v>
      </c>
      <c r="Z2" s="52" t="s">
        <v>62</v>
      </c>
      <c r="AA2" s="48"/>
      <c r="AC2" s="46"/>
      <c r="AD2" s="48"/>
      <c r="AF2" s="33" t="s">
        <v>46</v>
      </c>
    </row>
    <row r="3" spans="1:34" x14ac:dyDescent="0.2">
      <c r="B3" s="43">
        <f t="shared" ref="B3:S3" si="0">C3-1</f>
        <v>-16</v>
      </c>
      <c r="C3" s="44">
        <f t="shared" si="0"/>
        <v>-15</v>
      </c>
      <c r="D3" s="44">
        <f t="shared" si="0"/>
        <v>-14</v>
      </c>
      <c r="E3" s="44">
        <f t="shared" si="0"/>
        <v>-13</v>
      </c>
      <c r="F3" s="44">
        <f t="shared" si="0"/>
        <v>-12</v>
      </c>
      <c r="G3" s="44">
        <f t="shared" si="0"/>
        <v>-11</v>
      </c>
      <c r="H3" s="44">
        <f t="shared" si="0"/>
        <v>-10</v>
      </c>
      <c r="I3" s="44">
        <f t="shared" si="0"/>
        <v>-9</v>
      </c>
      <c r="J3" s="44">
        <f t="shared" si="0"/>
        <v>-8</v>
      </c>
      <c r="K3" s="44">
        <f t="shared" si="0"/>
        <v>-7</v>
      </c>
      <c r="L3" s="44">
        <f t="shared" si="0"/>
        <v>-6</v>
      </c>
      <c r="M3" s="44">
        <f t="shared" si="0"/>
        <v>-5</v>
      </c>
      <c r="N3" s="44">
        <f t="shared" si="0"/>
        <v>-4</v>
      </c>
      <c r="O3" s="44">
        <f t="shared" si="0"/>
        <v>-3</v>
      </c>
      <c r="P3" s="44">
        <f t="shared" si="0"/>
        <v>-2</v>
      </c>
      <c r="Q3" s="44">
        <f t="shared" si="0"/>
        <v>-1</v>
      </c>
      <c r="R3" s="44">
        <f t="shared" si="0"/>
        <v>0</v>
      </c>
      <c r="S3" s="44">
        <f t="shared" si="0"/>
        <v>1</v>
      </c>
      <c r="T3" s="44">
        <f>U3-1</f>
        <v>2</v>
      </c>
      <c r="U3" s="45">
        <f>AD6</f>
        <v>3</v>
      </c>
      <c r="W3" s="49" t="s">
        <v>12</v>
      </c>
      <c r="X3" s="50" t="s">
        <v>8</v>
      </c>
      <c r="Y3" s="50" t="s">
        <v>64</v>
      </c>
      <c r="Z3" s="50" t="s">
        <v>63</v>
      </c>
      <c r="AA3" s="51" t="s">
        <v>13</v>
      </c>
      <c r="AC3" s="64" t="s">
        <v>47</v>
      </c>
      <c r="AD3" s="65"/>
      <c r="AF3" s="34" t="s">
        <v>6</v>
      </c>
    </row>
    <row r="4" spans="1:34" x14ac:dyDescent="0.2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AF4" s="35"/>
    </row>
    <row r="5" spans="1:34" x14ac:dyDescent="0.2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54"/>
      <c r="U5" s="38">
        <f>$AD$9*($AD$7^AF5)*($AD$8^($AD$6-AF5))</f>
        <v>73.649793569668603</v>
      </c>
      <c r="V5" s="2"/>
      <c r="W5" s="2">
        <f>MAX(0,U5-$AD$11)</f>
        <v>28.649793569668603</v>
      </c>
      <c r="X5" s="3">
        <f>COMBIN($AD$6,AF5)</f>
        <v>1</v>
      </c>
      <c r="Y5" s="4">
        <f>($AD$14^AF5)*((1-$AD$14)^($AD$6-AF5))</f>
        <v>0.11559345252406852</v>
      </c>
      <c r="Z5" s="5">
        <f>X5*Y5</f>
        <v>0.11559345252406852</v>
      </c>
      <c r="AA5" s="2">
        <f>W5*Z5</f>
        <v>3.3117285528198512</v>
      </c>
      <c r="AC5" s="12" t="s">
        <v>17</v>
      </c>
      <c r="AD5" s="13">
        <v>0.25</v>
      </c>
      <c r="AF5" s="36">
        <f>AD6</f>
        <v>3</v>
      </c>
    </row>
    <row r="6" spans="1:34" x14ac:dyDescent="0.2">
      <c r="A6" s="2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54">
        <f>U5/$AD$7</f>
        <v>64.729813747323874</v>
      </c>
      <c r="U6" s="54"/>
      <c r="V6" s="2"/>
      <c r="W6" s="2"/>
      <c r="X6" s="3"/>
      <c r="Y6" s="4"/>
      <c r="Z6" s="5"/>
      <c r="AA6" s="2"/>
      <c r="AC6" s="14" t="s">
        <v>2</v>
      </c>
      <c r="AD6" s="15">
        <v>3</v>
      </c>
      <c r="AF6" s="36"/>
    </row>
    <row r="7" spans="1:34" x14ac:dyDescent="0.2">
      <c r="A7" s="2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>
        <f>T6/$AD$7</f>
        <v>56.890163362097965</v>
      </c>
      <c r="T7" s="54"/>
      <c r="U7" s="38">
        <f>$AD$9*($AD$7^AF7)*($AD$8^($AD$6-AF7))</f>
        <v>56.890163362097979</v>
      </c>
      <c r="V7" s="2"/>
      <c r="W7" s="2">
        <f>MAX(0,U7-$AD$11)</f>
        <v>11.890163362097979</v>
      </c>
      <c r="X7" s="3">
        <f>COMBIN($AD$6,AF7)</f>
        <v>3</v>
      </c>
      <c r="Y7" s="4">
        <f>($AD$14^AF7)*((1-$AD$14)^($AD$6-AF7))</f>
        <v>0.12170167653171875</v>
      </c>
      <c r="Z7" s="5">
        <f>X7*Y7</f>
        <v>0.36510502959515623</v>
      </c>
      <c r="AA7" s="2">
        <f>W7*Z7</f>
        <v>4.3411584462100254</v>
      </c>
      <c r="AC7" s="1" t="s">
        <v>0</v>
      </c>
      <c r="AD7" s="5">
        <f>AD17</f>
        <v>1.1378032672419593</v>
      </c>
      <c r="AF7" s="36">
        <f>AF5-1</f>
        <v>2</v>
      </c>
    </row>
    <row r="8" spans="1:34" x14ac:dyDescent="0.2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>
        <f>S7/$AD$7</f>
        <v>50</v>
      </c>
      <c r="S8" s="3"/>
      <c r="T8" s="3">
        <f>U7/$AD$7</f>
        <v>50.000000000000007</v>
      </c>
      <c r="U8" s="3"/>
      <c r="V8" s="2"/>
      <c r="W8" s="2"/>
      <c r="X8" s="3"/>
      <c r="Y8" s="4"/>
      <c r="Z8" s="5"/>
      <c r="AA8" s="2"/>
      <c r="AC8" s="1" t="s">
        <v>1</v>
      </c>
      <c r="AD8" s="5">
        <f>1/AD7</f>
        <v>0.87888656043676594</v>
      </c>
      <c r="AF8" s="36"/>
      <c r="AH8" s="1">
        <f>AD10*(AD5/AD6)</f>
        <v>4.9999999999999992E-3</v>
      </c>
    </row>
    <row r="9" spans="1:34" x14ac:dyDescent="0.2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55">
        <f>R8/$AD$7</f>
        <v>43.944328021838295</v>
      </c>
      <c r="R9" s="3"/>
      <c r="S9" s="3">
        <f>T8/$AD$7</f>
        <v>43.944328021838302</v>
      </c>
      <c r="T9" s="3"/>
      <c r="U9" s="2">
        <f>$AD$9*($AD$7^AF9)*($AD$8^($AD$6-AF9))</f>
        <v>43.944328021838295</v>
      </c>
      <c r="V9" s="2"/>
      <c r="W9" s="2">
        <f>MAX(0,U9-$AD$11)</f>
        <v>0</v>
      </c>
      <c r="X9" s="3">
        <f>COMBIN($AD$6,AF9)</f>
        <v>3</v>
      </c>
      <c r="Y9" s="4">
        <f>($AD$14^AF9)*((1-$AD$14)^($AD$6-AF9))</f>
        <v>0.12813267315073174</v>
      </c>
      <c r="Z9" s="5">
        <f>X9*Y9</f>
        <v>0.38439801945219521</v>
      </c>
      <c r="AA9" s="2">
        <f>W9*Z9</f>
        <v>0</v>
      </c>
      <c r="AC9" s="16" t="s">
        <v>3</v>
      </c>
      <c r="AD9" s="17">
        <v>50</v>
      </c>
      <c r="AF9" s="36">
        <f>AF7-1</f>
        <v>1</v>
      </c>
      <c r="AH9" s="63">
        <f>EXP(AH8) - AD8</f>
        <v>0.12612596042263502</v>
      </c>
    </row>
    <row r="10" spans="1:34" x14ac:dyDescent="0.2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55">
        <f>Q9/$AD$7</f>
        <v>38.622079305818446</v>
      </c>
      <c r="Q10" s="3"/>
      <c r="R10" s="55">
        <f>S9/$AD$7</f>
        <v>38.622079305818453</v>
      </c>
      <c r="S10" s="3"/>
      <c r="T10" s="3">
        <f>U9/$AD$7</f>
        <v>38.622079305818446</v>
      </c>
      <c r="U10" s="3"/>
      <c r="V10" s="2"/>
      <c r="W10" s="2"/>
      <c r="X10" s="3"/>
      <c r="Y10" s="4"/>
      <c r="Z10" s="5"/>
      <c r="AA10" s="2"/>
      <c r="AC10" s="18" t="s">
        <v>61</v>
      </c>
      <c r="AD10" s="19">
        <v>0.06</v>
      </c>
      <c r="AF10" s="36"/>
      <c r="AH10" s="63">
        <f>(AD7-AD8)</f>
        <v>0.25891670680519341</v>
      </c>
    </row>
    <row r="11" spans="1:34" x14ac:dyDescent="0.2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55">
        <f>P10/$AD$7</f>
        <v>33.944426438006765</v>
      </c>
      <c r="P11" s="3"/>
      <c r="Q11" s="3">
        <f>R10/$AD$7</f>
        <v>33.944426438006772</v>
      </c>
      <c r="R11" s="3"/>
      <c r="S11" s="55">
        <f>T10/$AD$7</f>
        <v>33.944426438006765</v>
      </c>
      <c r="T11" s="3"/>
      <c r="U11" s="2">
        <f>$AD$9*($AD$7^AF11)*($AD$8^($AD$6-AF11))</f>
        <v>33.944426438006772</v>
      </c>
      <c r="V11" s="2"/>
      <c r="W11" s="2">
        <f>MAX(0,U11-$AD$11)</f>
        <v>0</v>
      </c>
      <c r="X11" s="3">
        <f>COMBIN($AD$6,AF11)</f>
        <v>1</v>
      </c>
      <c r="Y11" s="4">
        <f>($AD$14^AF11)*((1-$AD$14)^($AD$6-AF11))</f>
        <v>0.13490349842857982</v>
      </c>
      <c r="Z11" s="5">
        <f>X11*Y11</f>
        <v>0.13490349842857982</v>
      </c>
      <c r="AA11" s="2">
        <f>W11*Z11</f>
        <v>0</v>
      </c>
      <c r="AC11" s="20" t="s">
        <v>7</v>
      </c>
      <c r="AD11" s="21">
        <v>45</v>
      </c>
      <c r="AF11" s="36">
        <f>AF9-1</f>
        <v>0</v>
      </c>
      <c r="AH11" s="1">
        <f>AH9/AH10</f>
        <v>0.48712947873823781</v>
      </c>
    </row>
    <row r="12" spans="1:34" x14ac:dyDescent="0.2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55">
        <f>O11/$AD$7</f>
        <v>29.833300198098588</v>
      </c>
      <c r="O12" s="3"/>
      <c r="P12" s="3">
        <f>Q11/$AD$7</f>
        <v>29.833300198098591</v>
      </c>
      <c r="Q12" s="3"/>
      <c r="R12" s="3">
        <f>S11/$AD$7</f>
        <v>29.833300198098588</v>
      </c>
      <c r="S12" s="3"/>
      <c r="T12" s="55">
        <f>U11/$AD$7</f>
        <v>29.833300198098591</v>
      </c>
      <c r="U12" s="3"/>
      <c r="V12" s="2"/>
      <c r="W12" s="2"/>
      <c r="X12" s="3"/>
      <c r="Y12" s="4"/>
      <c r="Z12" s="5"/>
      <c r="AA12" s="2"/>
      <c r="AF12" s="36"/>
      <c r="AH12" s="60">
        <f>0.52^3</f>
        <v>0.14060800000000001</v>
      </c>
    </row>
    <row r="13" spans="1:34" x14ac:dyDescent="0.2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55">
        <f>N12/$AD$7</f>
        <v>26.220086597584356</v>
      </c>
      <c r="N13" s="3"/>
      <c r="O13" s="3">
        <f>P12/$AD$7</f>
        <v>26.220086597584359</v>
      </c>
      <c r="P13" s="3"/>
      <c r="Q13" s="3">
        <f>R12/$AD$7</f>
        <v>26.220086597584356</v>
      </c>
      <c r="R13" s="3"/>
      <c r="S13" s="3">
        <f>T12/$AD$7</f>
        <v>26.220086597584359</v>
      </c>
      <c r="T13" s="3"/>
      <c r="U13" s="56">
        <f>$AD$9*($AD$7^AF13)*($AD$8^($AD$6-AF13))</f>
        <v>26.220086597584366</v>
      </c>
      <c r="V13" s="2"/>
      <c r="W13" s="2">
        <f>MAX(0,U13-$AD$11)</f>
        <v>0</v>
      </c>
      <c r="X13" s="3" t="e">
        <f>COMBIN($AD$6,AF13)</f>
        <v>#NUM!</v>
      </c>
      <c r="Y13" s="4">
        <f>($AD$14^AF13)*((1-$AD$14)^($AD$6-AF13))</f>
        <v>0.14203210969352908</v>
      </c>
      <c r="Z13" s="5" t="e">
        <f>X13*Y13</f>
        <v>#NUM!</v>
      </c>
      <c r="AA13" s="2" t="e">
        <f>W13*Z13</f>
        <v>#NUM!</v>
      </c>
      <c r="AD13" s="5"/>
      <c r="AF13" s="36">
        <f>AF11-1</f>
        <v>-1</v>
      </c>
      <c r="AH13" s="1">
        <f>AH12*29</f>
        <v>4.0776320000000004</v>
      </c>
    </row>
    <row r="14" spans="1:34" x14ac:dyDescent="0.2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55">
        <f>M13/$AD$7</f>
        <v>23.044481724105058</v>
      </c>
      <c r="M14" s="3"/>
      <c r="N14" s="3">
        <f>O13/$AD$7</f>
        <v>23.044481724105061</v>
      </c>
      <c r="O14" s="3"/>
      <c r="P14" s="3">
        <f>Q13/$AD$7</f>
        <v>23.044481724105058</v>
      </c>
      <c r="Q14" s="3"/>
      <c r="R14" s="3">
        <f>S13/$AD$7</f>
        <v>23.044481724105061</v>
      </c>
      <c r="S14" s="3"/>
      <c r="T14" s="57">
        <f>U13/$AD$7</f>
        <v>23.044481724105069</v>
      </c>
      <c r="U14" s="3"/>
      <c r="V14" s="2"/>
      <c r="W14" s="2"/>
      <c r="X14" s="3"/>
      <c r="Y14" s="4"/>
      <c r="Z14" s="5"/>
      <c r="AA14" s="2"/>
      <c r="AC14" s="1" t="s">
        <v>4</v>
      </c>
      <c r="AD14" s="5">
        <f>(EXP(AD10*(AD5/AD6))-AD8)/(AD7-AD8)</f>
        <v>0.48712947873823781</v>
      </c>
      <c r="AF14" s="36"/>
      <c r="AH14" s="5">
        <f>3*0.52^2*(1-0.52)</f>
        <v>0.38937600000000006</v>
      </c>
    </row>
    <row r="15" spans="1:34" x14ac:dyDescent="0.2">
      <c r="A15" s="2"/>
      <c r="B15" s="3"/>
      <c r="C15" s="3"/>
      <c r="D15" s="3"/>
      <c r="E15" s="3"/>
      <c r="F15" s="3"/>
      <c r="G15" s="3"/>
      <c r="H15" s="3"/>
      <c r="I15" s="3"/>
      <c r="J15" s="3"/>
      <c r="K15" s="55">
        <f>L14/$AD$7</f>
        <v>20.253485279546606</v>
      </c>
      <c r="L15" s="3"/>
      <c r="M15" s="3">
        <f>N14/$AD$7</f>
        <v>20.253485279546609</v>
      </c>
      <c r="N15" s="3"/>
      <c r="O15" s="3">
        <f>P14/$AD$7</f>
        <v>20.253485279546606</v>
      </c>
      <c r="P15" s="3"/>
      <c r="Q15" s="3">
        <f>R14/$AD$7</f>
        <v>20.253485279546609</v>
      </c>
      <c r="R15" s="3"/>
      <c r="S15" s="57">
        <f>T14/$AD$7</f>
        <v>20.253485279546616</v>
      </c>
      <c r="T15" s="3"/>
      <c r="U15" s="3">
        <f>$AD$9*($AD$7^AF15)*($AD$8^($AD$6-AF15))</f>
        <v>20.253485279546616</v>
      </c>
      <c r="V15" s="2"/>
      <c r="W15" s="2">
        <f>MAX(0,U15-$AD$11)</f>
        <v>0</v>
      </c>
      <c r="X15" s="3" t="e">
        <f>COMBIN($AD$6,AF15)</f>
        <v>#NUM!</v>
      </c>
      <c r="Y15" s="4">
        <f>($AD$14^AF15)*((1-$AD$14)^($AD$6-AF15))</f>
        <v>0.14953741318039035</v>
      </c>
      <c r="Z15" s="5" t="e">
        <f>X15*Y15</f>
        <v>#NUM!</v>
      </c>
      <c r="AA15" s="2" t="e">
        <f>W15*Z15</f>
        <v>#NUM!</v>
      </c>
      <c r="AF15" s="36">
        <f>AF13-1</f>
        <v>-2</v>
      </c>
      <c r="AH15" s="1">
        <f>AH14*12</f>
        <v>4.6725120000000011</v>
      </c>
    </row>
    <row r="16" spans="1:34" x14ac:dyDescent="0.2">
      <c r="A16" s="2"/>
      <c r="B16" s="3"/>
      <c r="C16" s="3"/>
      <c r="D16" s="3"/>
      <c r="E16" s="3"/>
      <c r="F16" s="3"/>
      <c r="G16" s="3"/>
      <c r="H16" s="3"/>
      <c r="I16" s="3"/>
      <c r="J16" s="55">
        <f>K15/$AD$7</f>
        <v>17.800516014197385</v>
      </c>
      <c r="K16" s="3"/>
      <c r="L16" s="3">
        <f>M15/$AD$7</f>
        <v>17.800516014197388</v>
      </c>
      <c r="M16" s="3"/>
      <c r="N16" s="3">
        <f>O15/$AD$7</f>
        <v>17.800516014197385</v>
      </c>
      <c r="O16" s="3"/>
      <c r="P16" s="3">
        <f>Q15/$AD$7</f>
        <v>17.800516014197388</v>
      </c>
      <c r="Q16" s="3"/>
      <c r="R16" s="57">
        <f>S15/$AD$7</f>
        <v>17.800516014197395</v>
      </c>
      <c r="S16" s="3"/>
      <c r="T16" s="3">
        <f>U15/$AD$7</f>
        <v>17.800516014197395</v>
      </c>
      <c r="U16" s="3"/>
      <c r="V16" s="2"/>
      <c r="W16" s="2"/>
      <c r="X16" s="3"/>
      <c r="Y16" s="4"/>
      <c r="Z16" s="5"/>
      <c r="AA16" s="2"/>
      <c r="AC16" s="24" t="s">
        <v>33</v>
      </c>
      <c r="AD16" s="58">
        <f>SQRT(0.2)</f>
        <v>0.44721359549995793</v>
      </c>
      <c r="AF16" s="36"/>
      <c r="AH16" s="1">
        <f>AH13+AH15</f>
        <v>8.7501440000000024</v>
      </c>
    </row>
    <row r="17" spans="1:34" x14ac:dyDescent="0.2">
      <c r="A17" s="2"/>
      <c r="B17" s="3"/>
      <c r="C17" s="3"/>
      <c r="D17" s="3"/>
      <c r="E17" s="3"/>
      <c r="F17" s="3"/>
      <c r="G17" s="3"/>
      <c r="H17" s="3"/>
      <c r="I17" s="56">
        <f>J16/$AD$7</f>
        <v>15.644634293717509</v>
      </c>
      <c r="J17" s="3"/>
      <c r="K17" s="3">
        <f>L16/$AD$7</f>
        <v>15.644634293717512</v>
      </c>
      <c r="L17" s="3"/>
      <c r="M17" s="3">
        <f>N16/$AD$7</f>
        <v>15.644634293717509</v>
      </c>
      <c r="N17" s="3"/>
      <c r="O17" s="3">
        <f>P16/$AD$7</f>
        <v>15.644634293717512</v>
      </c>
      <c r="P17" s="3"/>
      <c r="Q17" s="57">
        <f>R16/$AD$7</f>
        <v>15.644634293717518</v>
      </c>
      <c r="R17" s="3"/>
      <c r="S17" s="3">
        <f>T16/$AD$7</f>
        <v>15.644634293717518</v>
      </c>
      <c r="T17" s="3"/>
      <c r="U17" s="3">
        <f>$AD$9*($AD$7^AF17)*($AD$8^($AD$6-AF17))</f>
        <v>15.644634293717521</v>
      </c>
      <c r="V17" s="2"/>
      <c r="W17" s="2">
        <f>MAX(0,U17-$AD$11)</f>
        <v>0</v>
      </c>
      <c r="X17" s="3" t="e">
        <f>COMBIN($AD$6,AF17)</f>
        <v>#NUM!</v>
      </c>
      <c r="Y17" s="4">
        <f>($AD$14^AF17)*((1-$AD$14)^($AD$6-AF17))</f>
        <v>0.15743931417292434</v>
      </c>
      <c r="Z17" s="5" t="e">
        <f>X17*Y17</f>
        <v>#NUM!</v>
      </c>
      <c r="AA17" s="2" t="e">
        <f>W17*Z17</f>
        <v>#NUM!</v>
      </c>
      <c r="AC17" s="1" t="s">
        <v>0</v>
      </c>
      <c r="AD17" s="5">
        <f>EXP(AD16*SQRT(AD5/AD6))</f>
        <v>1.1378032672419593</v>
      </c>
      <c r="AF17" s="36">
        <f>AF15-1</f>
        <v>-3</v>
      </c>
      <c r="AH17" s="5">
        <f>AH16/(1+0.015)</f>
        <v>8.6208315270935998</v>
      </c>
    </row>
    <row r="18" spans="1:34" x14ac:dyDescent="0.2">
      <c r="A18" s="2"/>
      <c r="B18" s="3"/>
      <c r="C18" s="3"/>
      <c r="D18" s="3"/>
      <c r="E18" s="3"/>
      <c r="F18" s="3"/>
      <c r="G18" s="3"/>
      <c r="H18" s="56">
        <f>I17/$AD$7</f>
        <v>13.749858823696453</v>
      </c>
      <c r="I18" s="3"/>
      <c r="J18" s="57">
        <f>K17/$AD$7</f>
        <v>13.749858823696457</v>
      </c>
      <c r="K18" s="3"/>
      <c r="L18" s="3">
        <f>M17/$AD$7</f>
        <v>13.749858823696453</v>
      </c>
      <c r="M18" s="3"/>
      <c r="N18" s="3">
        <f>O17/$AD$7</f>
        <v>13.749858823696457</v>
      </c>
      <c r="O18" s="3"/>
      <c r="P18" s="57">
        <f>Q17/$AD$7</f>
        <v>13.749858823696462</v>
      </c>
      <c r="Q18" s="3"/>
      <c r="R18" s="3">
        <f>S17/$AD$7</f>
        <v>13.749858823696462</v>
      </c>
      <c r="S18" s="3"/>
      <c r="T18" s="3">
        <f>U17/$AD$7</f>
        <v>13.749858823696465</v>
      </c>
      <c r="U18" s="3"/>
      <c r="V18" s="2"/>
      <c r="W18" s="2"/>
      <c r="X18" s="3"/>
      <c r="Y18" s="4"/>
      <c r="Z18" s="5"/>
      <c r="AA18" s="2"/>
      <c r="AF18" s="36"/>
      <c r="AH18" s="5"/>
    </row>
    <row r="19" spans="1:34" x14ac:dyDescent="0.2">
      <c r="A19" s="2"/>
      <c r="B19" s="3"/>
      <c r="C19" s="3"/>
      <c r="D19" s="3"/>
      <c r="E19" s="3"/>
      <c r="F19" s="3"/>
      <c r="G19" s="56">
        <f>H18/$AD$7</f>
        <v>12.084566128049691</v>
      </c>
      <c r="H19" s="3"/>
      <c r="I19" s="3">
        <f>J18/$AD$7</f>
        <v>12.084566128049694</v>
      </c>
      <c r="J19" s="3"/>
      <c r="K19" s="57">
        <f>L18/$AD$7</f>
        <v>12.084566128049691</v>
      </c>
      <c r="L19" s="3"/>
      <c r="M19" s="3">
        <f>N18/$AD$7</f>
        <v>12.084566128049694</v>
      </c>
      <c r="N19" s="3"/>
      <c r="O19" s="57">
        <f>P18/$AD$7</f>
        <v>12.084566128049699</v>
      </c>
      <c r="P19" s="3"/>
      <c r="Q19" s="3">
        <f>R18/$AD$7</f>
        <v>12.084566128049699</v>
      </c>
      <c r="R19" s="3"/>
      <c r="S19" s="3">
        <f>T18/$AD$7</f>
        <v>12.084566128049703</v>
      </c>
      <c r="T19" s="3"/>
      <c r="U19" s="3">
        <f>$AD$9*($AD$7^AF19)*($AD$8^($AD$6-AF19))</f>
        <v>12.084566128049698</v>
      </c>
      <c r="V19" s="2"/>
      <c r="W19" s="2">
        <f>MAX(0,U19-$AD$11)</f>
        <v>0</v>
      </c>
      <c r="X19" s="3" t="e">
        <f>COMBIN($AD$6,AF19)</f>
        <v>#NUM!</v>
      </c>
      <c r="Y19" s="4">
        <f>($AD$14^AF19)*((1-$AD$14)^($AD$6-AF19))</f>
        <v>0.16575876979588713</v>
      </c>
      <c r="Z19" s="5" t="e">
        <f>X19*Y19</f>
        <v>#NUM!</v>
      </c>
      <c r="AA19" s="2" t="e">
        <f>W19*Z19</f>
        <v>#NUM!</v>
      </c>
      <c r="AF19" s="36">
        <f>AF17-1</f>
        <v>-4</v>
      </c>
      <c r="AH19" s="1">
        <f>(EXP(0.015/3)-0.8789)/(1.1378-0.8789)</f>
        <v>0.48710900293318266</v>
      </c>
    </row>
    <row r="20" spans="1:34" x14ac:dyDescent="0.2">
      <c r="A20" s="2"/>
      <c r="B20" s="3"/>
      <c r="C20" s="3"/>
      <c r="D20" s="3"/>
      <c r="E20" s="3"/>
      <c r="F20" s="56">
        <f>G19/$AD$7</f>
        <v>10.620962758652238</v>
      </c>
      <c r="G20" s="3"/>
      <c r="H20" s="3">
        <f>I19/$AD$7</f>
        <v>10.620962758652242</v>
      </c>
      <c r="I20" s="3"/>
      <c r="J20" s="3">
        <f>K19/$AD$7</f>
        <v>10.620962758652238</v>
      </c>
      <c r="K20" s="3"/>
      <c r="L20" s="57">
        <f>M19/$AD$7</f>
        <v>10.620962758652242</v>
      </c>
      <c r="M20" s="3"/>
      <c r="N20" s="57">
        <f>O19/$AD$7</f>
        <v>10.620962758652245</v>
      </c>
      <c r="O20" s="3"/>
      <c r="P20" s="3">
        <f>Q19/$AD$7</f>
        <v>10.620962758652245</v>
      </c>
      <c r="Q20" s="3"/>
      <c r="R20" s="3">
        <f>S19/$AD$7</f>
        <v>10.620962758652249</v>
      </c>
      <c r="S20" s="3"/>
      <c r="T20" s="3">
        <f>U19/$AD$7</f>
        <v>10.620962758652245</v>
      </c>
      <c r="U20" s="3"/>
      <c r="V20" s="2"/>
      <c r="W20" s="2"/>
      <c r="X20" s="3"/>
      <c r="Y20" s="4"/>
      <c r="Z20" s="5"/>
      <c r="AA20" s="2"/>
      <c r="AF20" s="36"/>
    </row>
    <row r="21" spans="1:34" x14ac:dyDescent="0.2">
      <c r="A21" s="2"/>
      <c r="B21" s="3"/>
      <c r="C21" s="3"/>
      <c r="D21" s="3"/>
      <c r="E21" s="56">
        <f>F20/$AD$7</f>
        <v>9.3346214274788508</v>
      </c>
      <c r="F21" s="3"/>
      <c r="G21" s="3">
        <f>H20/$AD$7</f>
        <v>9.3346214274788526</v>
      </c>
      <c r="H21" s="3"/>
      <c r="I21" s="3">
        <f>J20/$AD$7</f>
        <v>9.3346214274788508</v>
      </c>
      <c r="J21" s="3"/>
      <c r="K21" s="3">
        <f>L20/$AD$7</f>
        <v>9.3346214274788526</v>
      </c>
      <c r="L21" s="3"/>
      <c r="M21" s="57">
        <f>N20/$AD$7</f>
        <v>9.3346214274788561</v>
      </c>
      <c r="N21" s="3"/>
      <c r="O21" s="3">
        <f>P20/$AD$7</f>
        <v>9.3346214274788561</v>
      </c>
      <c r="P21" s="3"/>
      <c r="Q21" s="3">
        <f>R20/$AD$7</f>
        <v>9.3346214274788597</v>
      </c>
      <c r="R21" s="3"/>
      <c r="S21" s="3">
        <f>T20/$AD$7</f>
        <v>9.3346214274788561</v>
      </c>
      <c r="T21" s="3"/>
      <c r="U21" s="3">
        <f>$AD$9*($AD$7^AF21)*($AD$8^($AD$6-AF21))</f>
        <v>9.3346214274788561</v>
      </c>
      <c r="V21" s="2"/>
      <c r="W21" s="2">
        <f>MAX(0,U21-$AD$11)</f>
        <v>0</v>
      </c>
      <c r="X21" s="3" t="e">
        <f>COMBIN($AD$6,AF21)</f>
        <v>#NUM!</v>
      </c>
      <c r="Y21" s="4">
        <f>($AD$14^AF21)*((1-$AD$14)^($AD$6-AF21))</f>
        <v>0.17451784459672831</v>
      </c>
      <c r="Z21" s="5" t="e">
        <f>X21*Y21</f>
        <v>#NUM!</v>
      </c>
      <c r="AA21" s="2" t="e">
        <f>W21*Z21</f>
        <v>#NUM!</v>
      </c>
      <c r="AF21" s="36">
        <f>AF19-1</f>
        <v>-5</v>
      </c>
    </row>
    <row r="22" spans="1:34" x14ac:dyDescent="0.2">
      <c r="A22" s="2"/>
      <c r="B22" s="3"/>
      <c r="C22" s="3"/>
      <c r="D22" s="56">
        <f>E21/$AD$7</f>
        <v>8.2040733193762208</v>
      </c>
      <c r="E22" s="3"/>
      <c r="F22" s="3">
        <f>G21/$AD$7</f>
        <v>8.2040733193762225</v>
      </c>
      <c r="G22" s="3"/>
      <c r="H22" s="3">
        <f>I21/$AD$7</f>
        <v>8.2040733193762208</v>
      </c>
      <c r="I22" s="3"/>
      <c r="J22" s="3">
        <f>K21/$AD$7</f>
        <v>8.2040733193762225</v>
      </c>
      <c r="K22" s="3"/>
      <c r="L22" s="3">
        <f>M21/$AD$7</f>
        <v>8.2040733193762261</v>
      </c>
      <c r="M22" s="3"/>
      <c r="N22" s="3">
        <f>O21/$AD$7</f>
        <v>8.2040733193762261</v>
      </c>
      <c r="O22" s="3"/>
      <c r="P22" s="3">
        <f>Q21/$AD$7</f>
        <v>8.2040733193762279</v>
      </c>
      <c r="Q22" s="3"/>
      <c r="R22" s="3">
        <f>S21/$AD$7</f>
        <v>8.2040733193762261</v>
      </c>
      <c r="S22" s="3"/>
      <c r="T22" s="3">
        <f>U21/$AD$7</f>
        <v>8.2040733193762261</v>
      </c>
      <c r="U22" s="3"/>
      <c r="V22" s="2"/>
      <c r="W22" s="2"/>
      <c r="X22" s="3"/>
      <c r="Y22" s="4"/>
      <c r="Z22" s="5"/>
      <c r="AA22" s="2"/>
      <c r="AC22" s="66" t="s">
        <v>48</v>
      </c>
      <c r="AD22" s="67"/>
      <c r="AF22" s="36"/>
      <c r="AH22" s="1">
        <f>0.4871^3 * 28.7</f>
        <v>3.3169298405256997</v>
      </c>
    </row>
    <row r="23" spans="1:34" x14ac:dyDescent="0.2">
      <c r="A23" s="2"/>
      <c r="B23" s="3"/>
      <c r="C23" s="56">
        <f>D22/$AD$7</f>
        <v>7.2104497812376076</v>
      </c>
      <c r="D23" s="3"/>
      <c r="E23" s="3">
        <f>F22/$AD$7</f>
        <v>7.2104497812376094</v>
      </c>
      <c r="F23" s="3"/>
      <c r="G23" s="3">
        <f>H22/$AD$7</f>
        <v>7.2104497812376076</v>
      </c>
      <c r="H23" s="3"/>
      <c r="I23" s="3">
        <f>J22/$AD$7</f>
        <v>7.2104497812376094</v>
      </c>
      <c r="J23" s="3"/>
      <c r="K23" s="3">
        <f>L22/$AD$7</f>
        <v>7.210449781237612</v>
      </c>
      <c r="L23" s="3"/>
      <c r="M23" s="3">
        <f>N22/$AD$7</f>
        <v>7.210449781237612</v>
      </c>
      <c r="N23" s="3"/>
      <c r="O23" s="3">
        <f>P22/$AD$7</f>
        <v>7.2104497812376138</v>
      </c>
      <c r="P23" s="3"/>
      <c r="Q23" s="3">
        <f>R22/$AD$7</f>
        <v>7.210449781237612</v>
      </c>
      <c r="R23" s="3"/>
      <c r="S23" s="3">
        <f>T22/$AD$7</f>
        <v>7.210449781237612</v>
      </c>
      <c r="T23" s="3"/>
      <c r="U23" s="3">
        <f>$AD$9*($AD$7^AF23)*($AD$8^($AD$6-AF23))</f>
        <v>7.2104497812376129</v>
      </c>
      <c r="V23" s="2"/>
      <c r="W23" s="2">
        <f>MAX(0,U23-$AD$11)</f>
        <v>0</v>
      </c>
      <c r="X23" s="3" t="e">
        <f>COMBIN($AD$6,AF23)</f>
        <v>#NUM!</v>
      </c>
      <c r="Y23" s="4">
        <f>($AD$14^AF23)*((1-$AD$14)^($AD$6-AF23))</f>
        <v>0.18373976906435463</v>
      </c>
      <c r="Z23" s="5" t="e">
        <f>X23*Y23</f>
        <v>#NUM!</v>
      </c>
      <c r="AA23" s="2" t="e">
        <f>W23*Z23</f>
        <v>#NUM!</v>
      </c>
      <c r="AC23" s="22" t="s">
        <v>16</v>
      </c>
      <c r="AD23" s="23">
        <f>AA46*EXP(-AD10*AD5)</f>
        <v>7.5389503551773824</v>
      </c>
      <c r="AF23" s="36">
        <f>AF21-1</f>
        <v>-6</v>
      </c>
      <c r="AH23" s="1">
        <f>3*(1-0.4871)*0.4871^2 * 11.9</f>
        <v>4.3444737182972997</v>
      </c>
    </row>
    <row r="24" spans="1:34" x14ac:dyDescent="0.2">
      <c r="A24" s="2"/>
      <c r="B24" s="56">
        <f>C23/$AD$7</f>
        <v>6.3371674074339523</v>
      </c>
      <c r="C24" s="3"/>
      <c r="D24" s="3">
        <f>E23/$AD$7</f>
        <v>6.3371674074339532</v>
      </c>
      <c r="E24" s="3"/>
      <c r="F24" s="3">
        <f>G23/$AD$7</f>
        <v>6.3371674074339523</v>
      </c>
      <c r="G24" s="3"/>
      <c r="H24" s="3">
        <f>I23/$AD$7</f>
        <v>6.3371674074339532</v>
      </c>
      <c r="I24" s="3"/>
      <c r="J24" s="3">
        <f>K23/$AD$7</f>
        <v>6.3371674074339559</v>
      </c>
      <c r="K24" s="3"/>
      <c r="L24" s="3">
        <f>M23/$AD$7</f>
        <v>6.3371674074339559</v>
      </c>
      <c r="M24" s="3"/>
      <c r="N24" s="3">
        <f>O23/$AD$7</f>
        <v>6.3371674074339577</v>
      </c>
      <c r="O24" s="3"/>
      <c r="P24" s="3">
        <f>Q23/$AD$7</f>
        <v>6.3371674074339559</v>
      </c>
      <c r="Q24" s="3"/>
      <c r="R24" s="3">
        <f>S23/$AD$7</f>
        <v>6.3371674074339559</v>
      </c>
      <c r="S24" s="3"/>
      <c r="T24" s="3">
        <f>U23/$AD$7</f>
        <v>6.3371674074339568</v>
      </c>
      <c r="U24" s="3"/>
      <c r="V24" s="2"/>
      <c r="W24" s="2"/>
      <c r="X24" s="3"/>
      <c r="Y24" s="4"/>
      <c r="Z24" s="5"/>
      <c r="AA24" s="2"/>
      <c r="AF24" s="36"/>
      <c r="AH24" s="1">
        <f>(AH22+AH23)/EXP(0.015)</f>
        <v>7.5473401199139323</v>
      </c>
    </row>
    <row r="25" spans="1:34" x14ac:dyDescent="0.2">
      <c r="A25" s="2"/>
      <c r="B25" s="3"/>
      <c r="C25" s="3">
        <f>D24/$AD$7</f>
        <v>5.5696512656316042</v>
      </c>
      <c r="D25" s="3"/>
      <c r="E25" s="3">
        <f>F24/$AD$7</f>
        <v>5.5696512656316033</v>
      </c>
      <c r="F25" s="3"/>
      <c r="G25" s="3">
        <f>H24/$AD$7</f>
        <v>5.5696512656316042</v>
      </c>
      <c r="H25" s="3"/>
      <c r="I25" s="3">
        <f>J24/$AD$7</f>
        <v>5.5696512656316068</v>
      </c>
      <c r="J25" s="3"/>
      <c r="K25" s="3">
        <f>L24/$AD$7</f>
        <v>5.5696512656316068</v>
      </c>
      <c r="L25" s="3"/>
      <c r="M25" s="3">
        <f>N24/$AD$7</f>
        <v>5.5696512656316077</v>
      </c>
      <c r="N25" s="3"/>
      <c r="O25" s="3">
        <f>P24/$AD$7</f>
        <v>5.5696512656316068</v>
      </c>
      <c r="P25" s="3"/>
      <c r="Q25" s="3">
        <f>R24/$AD$7</f>
        <v>5.5696512656316068</v>
      </c>
      <c r="R25" s="3"/>
      <c r="S25" s="3">
        <f>T24/$AD$7</f>
        <v>5.5696512656316077</v>
      </c>
      <c r="T25" s="3"/>
      <c r="U25" s="3">
        <f>$AD$9*($AD$7^AF25)*($AD$8^($AD$6-AF25))</f>
        <v>5.5696512656316068</v>
      </c>
      <c r="V25" s="2"/>
      <c r="W25" s="2">
        <f>MAX(0,U25-$AD$11)</f>
        <v>0</v>
      </c>
      <c r="X25" s="3" t="e">
        <f>COMBIN($AD$6,AF25)</f>
        <v>#NUM!</v>
      </c>
      <c r="Y25" s="4">
        <f>($AD$14^AF25)*((1-$AD$14)^($AD$6-AF25))</f>
        <v>0.19344900124015893</v>
      </c>
      <c r="Z25" s="5" t="e">
        <f>X25*Y25</f>
        <v>#NUM!</v>
      </c>
      <c r="AA25" s="2" t="e">
        <f>W25*Z25</f>
        <v>#NUM!</v>
      </c>
      <c r="AC25" s="66" t="s">
        <v>52</v>
      </c>
      <c r="AD25" s="67"/>
      <c r="AF25" s="36">
        <f>AF23-1</f>
        <v>-7</v>
      </c>
    </row>
    <row r="26" spans="1:34" x14ac:dyDescent="0.2">
      <c r="A26" s="2"/>
      <c r="B26" s="3"/>
      <c r="C26" s="3"/>
      <c r="D26" s="3">
        <f>E25/$AD$7</f>
        <v>4.8950916436832399</v>
      </c>
      <c r="E26" s="3"/>
      <c r="F26" s="3">
        <f>G25/$AD$7</f>
        <v>4.8950916436832408</v>
      </c>
      <c r="G26" s="3"/>
      <c r="H26" s="3">
        <f>I25/$AD$7</f>
        <v>4.8950916436832426</v>
      </c>
      <c r="I26" s="3"/>
      <c r="J26" s="3">
        <f>K25/$AD$7</f>
        <v>4.8950916436832426</v>
      </c>
      <c r="K26" s="3"/>
      <c r="L26" s="3">
        <f>M25/$AD$7</f>
        <v>4.8950916436832435</v>
      </c>
      <c r="M26" s="3"/>
      <c r="N26" s="3">
        <f>O25/$AD$7</f>
        <v>4.8950916436832426</v>
      </c>
      <c r="O26" s="3"/>
      <c r="P26" s="3">
        <f>Q25/$AD$7</f>
        <v>4.8950916436832426</v>
      </c>
      <c r="Q26" s="3"/>
      <c r="R26" s="3">
        <f>S25/$AD$7</f>
        <v>4.8950916436832435</v>
      </c>
      <c r="S26" s="3"/>
      <c r="T26" s="3">
        <f>U25/$AD$7</f>
        <v>4.8950916436832426</v>
      </c>
      <c r="U26" s="3"/>
      <c r="V26" s="2"/>
      <c r="W26" s="2"/>
      <c r="X26" s="3"/>
      <c r="Y26" s="4"/>
      <c r="Z26" s="5"/>
      <c r="AA26" s="2"/>
      <c r="AC26" s="22"/>
      <c r="AD26" s="23">
        <f>AD23-'Black-Scholes'!D24</f>
        <v>-8.5309627214313011E-2</v>
      </c>
      <c r="AF26" s="36"/>
    </row>
    <row r="27" spans="1:34" x14ac:dyDescent="0.2">
      <c r="A27" s="2"/>
      <c r="B27" s="3"/>
      <c r="C27" s="3"/>
      <c r="D27" s="3"/>
      <c r="E27" s="3">
        <f>F26/$AD$7</f>
        <v>4.3022302577395184</v>
      </c>
      <c r="F27" s="3"/>
      <c r="G27" s="3">
        <f>H26/$AD$7</f>
        <v>4.3022302577395202</v>
      </c>
      <c r="H27" s="3"/>
      <c r="I27" s="3">
        <f>J26/$AD$7</f>
        <v>4.3022302577395202</v>
      </c>
      <c r="J27" s="3"/>
      <c r="K27" s="3">
        <f>L26/$AD$7</f>
        <v>4.3022302577395211</v>
      </c>
      <c r="L27" s="3"/>
      <c r="M27" s="3">
        <f>N26/$AD$7</f>
        <v>4.3022302577395202</v>
      </c>
      <c r="N27" s="3"/>
      <c r="O27" s="3">
        <f>P26/$AD$7</f>
        <v>4.3022302577395202</v>
      </c>
      <c r="P27" s="3"/>
      <c r="Q27" s="3">
        <f>R26/$AD$7</f>
        <v>4.3022302577395211</v>
      </c>
      <c r="R27" s="3"/>
      <c r="S27" s="3">
        <f>T26/$AD$7</f>
        <v>4.3022302577395202</v>
      </c>
      <c r="T27" s="3"/>
      <c r="U27" s="3">
        <f>$AD$9*($AD$7^AF27)*($AD$8^($AD$6-AF27))</f>
        <v>4.3022302577395202</v>
      </c>
      <c r="V27" s="2"/>
      <c r="W27" s="2">
        <f>MAX(0,U27-$AD$11)</f>
        <v>0</v>
      </c>
      <c r="X27" s="3" t="e">
        <f>COMBIN($AD$6,AF27)</f>
        <v>#NUM!</v>
      </c>
      <c r="Y27" s="4">
        <f>($AD$14^AF27)*((1-$AD$14)^($AD$6-AF27))</f>
        <v>0.20367129158471847</v>
      </c>
      <c r="Z27" s="5" t="e">
        <f>X27*Y27</f>
        <v>#NUM!</v>
      </c>
      <c r="AA27" s="2" t="e">
        <f>W27*Z27</f>
        <v>#NUM!</v>
      </c>
      <c r="AF27" s="36">
        <f>AF25-1</f>
        <v>-8</v>
      </c>
    </row>
    <row r="28" spans="1:34" x14ac:dyDescent="0.2">
      <c r="A28" s="2"/>
      <c r="B28" s="3"/>
      <c r="C28" s="3"/>
      <c r="D28" s="3"/>
      <c r="E28" s="3"/>
      <c r="F28" s="3">
        <f>G27/$AD$7</f>
        <v>3.7811723534316677</v>
      </c>
      <c r="G28" s="3"/>
      <c r="H28" s="3">
        <f>I27/$AD$7</f>
        <v>3.7811723534316677</v>
      </c>
      <c r="I28" s="3"/>
      <c r="J28" s="3">
        <f>K27/$AD$7</f>
        <v>3.7811723534316686</v>
      </c>
      <c r="K28" s="3"/>
      <c r="L28" s="3">
        <f>M27/$AD$7</f>
        <v>3.7811723534316677</v>
      </c>
      <c r="M28" s="3"/>
      <c r="N28" s="3">
        <f>O27/$AD$7</f>
        <v>3.7811723534316677</v>
      </c>
      <c r="O28" s="3"/>
      <c r="P28" s="3">
        <f>Q27/$AD$7</f>
        <v>3.7811723534316686</v>
      </c>
      <c r="Q28" s="3"/>
      <c r="R28" s="3">
        <f>S27/$AD$7</f>
        <v>3.7811723534316677</v>
      </c>
      <c r="S28" s="3"/>
      <c r="T28" s="3">
        <f>U27/$AD$7</f>
        <v>3.7811723534316677</v>
      </c>
      <c r="U28" s="3"/>
      <c r="V28" s="2"/>
      <c r="W28" s="2"/>
      <c r="X28" s="3"/>
      <c r="Y28" s="4"/>
      <c r="Z28" s="5"/>
      <c r="AA28" s="2"/>
      <c r="AF28" s="36"/>
    </row>
    <row r="29" spans="1:34" x14ac:dyDescent="0.2">
      <c r="A29" s="2"/>
      <c r="B29" s="3"/>
      <c r="C29" s="3"/>
      <c r="D29" s="3"/>
      <c r="E29" s="3"/>
      <c r="F29" s="3"/>
      <c r="G29" s="3">
        <f>H28/$AD$7</f>
        <v>3.3232215641261496</v>
      </c>
      <c r="H29" s="3"/>
      <c r="I29" s="3">
        <f>J28/$AD$7</f>
        <v>3.3232215641261504</v>
      </c>
      <c r="J29" s="3"/>
      <c r="K29" s="3">
        <f>L28/$AD$7</f>
        <v>3.3232215641261496</v>
      </c>
      <c r="L29" s="3"/>
      <c r="M29" s="3">
        <f>N28/$AD$7</f>
        <v>3.3232215641261496</v>
      </c>
      <c r="N29" s="3"/>
      <c r="O29" s="3">
        <f>P28/$AD$7</f>
        <v>3.3232215641261504</v>
      </c>
      <c r="P29" s="3"/>
      <c r="Q29" s="3">
        <f>R28/$AD$7</f>
        <v>3.3232215641261496</v>
      </c>
      <c r="R29" s="3"/>
      <c r="S29" s="3">
        <f>T28/$AD$7</f>
        <v>3.3232215641261496</v>
      </c>
      <c r="T29" s="3"/>
      <c r="U29" s="3">
        <f>$AD$9*($AD$7^AF29)*($AD$8^($AD$6-AF29))</f>
        <v>3.32322156412615</v>
      </c>
      <c r="V29" s="2"/>
      <c r="W29" s="2">
        <f>MAX(0,U29-$AD$11)</f>
        <v>0</v>
      </c>
      <c r="X29" s="3" t="e">
        <f>COMBIN($AD$6,AF29)</f>
        <v>#NUM!</v>
      </c>
      <c r="Y29" s="4">
        <f>($AD$14^AF29)*((1-$AD$14)^($AD$6-AF29))</f>
        <v>0.21443375127219835</v>
      </c>
      <c r="Z29" s="5" t="e">
        <f>X29*Y29</f>
        <v>#NUM!</v>
      </c>
      <c r="AA29" s="2" t="e">
        <f>W29*Z29</f>
        <v>#NUM!</v>
      </c>
      <c r="AF29" s="36">
        <f>AF27-1</f>
        <v>-9</v>
      </c>
    </row>
    <row r="30" spans="1:34" x14ac:dyDescent="0.2">
      <c r="A30" s="2"/>
      <c r="B30" s="3"/>
      <c r="C30" s="3"/>
      <c r="D30" s="3"/>
      <c r="E30" s="3"/>
      <c r="F30" s="3"/>
      <c r="G30" s="3"/>
      <c r="H30" s="3">
        <f>I29/$AD$7</f>
        <v>2.9207347700641217</v>
      </c>
      <c r="I30" s="3"/>
      <c r="J30" s="3">
        <f>K29/$AD$7</f>
        <v>2.9207347700641209</v>
      </c>
      <c r="K30" s="3"/>
      <c r="L30" s="3">
        <f>M29/$AD$7</f>
        <v>2.9207347700641209</v>
      </c>
      <c r="M30" s="3"/>
      <c r="N30" s="3">
        <f>O29/$AD$7</f>
        <v>2.9207347700641217</v>
      </c>
      <c r="O30" s="3"/>
      <c r="P30" s="3">
        <f>Q29/$AD$7</f>
        <v>2.9207347700641209</v>
      </c>
      <c r="Q30" s="3"/>
      <c r="R30" s="3">
        <f>S29/$AD$7</f>
        <v>2.9207347700641209</v>
      </c>
      <c r="S30" s="3"/>
      <c r="T30" s="3">
        <f>U29/$AD$7</f>
        <v>2.9207347700641213</v>
      </c>
      <c r="U30" s="3"/>
      <c r="V30" s="2"/>
      <c r="W30" s="2"/>
      <c r="X30" s="3"/>
      <c r="Y30" s="4"/>
      <c r="Z30" s="5"/>
      <c r="AA30" s="2"/>
      <c r="AC30" s="66" t="s">
        <v>49</v>
      </c>
      <c r="AD30" s="67"/>
      <c r="AF30" s="36"/>
    </row>
    <row r="31" spans="1:34" x14ac:dyDescent="0.2">
      <c r="A31" s="2"/>
      <c r="B31" s="3"/>
      <c r="C31" s="3"/>
      <c r="D31" s="3"/>
      <c r="E31" s="3"/>
      <c r="F31" s="3"/>
      <c r="G31" s="3"/>
      <c r="H31" s="3"/>
      <c r="I31" s="3">
        <f>J30/$AD$7</f>
        <v>2.5669945360097235</v>
      </c>
      <c r="J31" s="3"/>
      <c r="K31" s="3">
        <f>L30/$AD$7</f>
        <v>2.5669945360097235</v>
      </c>
      <c r="L31" s="3"/>
      <c r="M31" s="3">
        <f>N30/$AD$7</f>
        <v>2.5669945360097244</v>
      </c>
      <c r="N31" s="3"/>
      <c r="O31" s="3">
        <f>P30/$AD$7</f>
        <v>2.5669945360097235</v>
      </c>
      <c r="P31" s="3"/>
      <c r="Q31" s="3">
        <f>R30/$AD$7</f>
        <v>2.5669945360097235</v>
      </c>
      <c r="R31" s="3"/>
      <c r="S31" s="3">
        <f>T30/$AD$7</f>
        <v>2.5669945360097239</v>
      </c>
      <c r="T31" s="3"/>
      <c r="U31" s="3">
        <f>$AD$9*($AD$7^AF31)*($AD$8^($AD$6-AF31))</f>
        <v>2.5669945360097244</v>
      </c>
      <c r="V31" s="2"/>
      <c r="W31" s="2">
        <f>MAX(0,U31-$AD$11)</f>
        <v>0</v>
      </c>
      <c r="X31" s="3" t="e">
        <f>COMBIN($AD$6,AF31)</f>
        <v>#NUM!</v>
      </c>
      <c r="Y31" s="4">
        <f>($AD$14^AF31)*((1-$AD$14)^($AD$6-AF31))</f>
        <v>0.22576492409358809</v>
      </c>
      <c r="Z31" s="5" t="e">
        <f>X31*Y31</f>
        <v>#NUM!</v>
      </c>
      <c r="AA31" s="2" t="e">
        <f>W31*Z31</f>
        <v>#NUM!</v>
      </c>
      <c r="AC31" s="1" t="s">
        <v>31</v>
      </c>
      <c r="AD31" s="1" t="s">
        <v>32</v>
      </c>
      <c r="AF31" s="36">
        <f>AF29-1</f>
        <v>-10</v>
      </c>
    </row>
    <row r="32" spans="1:34" x14ac:dyDescent="0.2">
      <c r="A32" s="2"/>
      <c r="B32" s="3"/>
      <c r="C32" s="3"/>
      <c r="D32" s="3"/>
      <c r="E32" s="3"/>
      <c r="F32" s="3"/>
      <c r="G32" s="3"/>
      <c r="H32" s="3"/>
      <c r="I32" s="3"/>
      <c r="J32" s="3">
        <f>K31/$AD$7</f>
        <v>2.2560969984135575</v>
      </c>
      <c r="K32" s="3"/>
      <c r="L32" s="3">
        <f>M31/$AD$7</f>
        <v>2.2560969984135584</v>
      </c>
      <c r="M32" s="3"/>
      <c r="N32" s="3">
        <f>O31/$AD$7</f>
        <v>2.2560969984135575</v>
      </c>
      <c r="O32" s="3"/>
      <c r="P32" s="3">
        <f>Q31/$AD$7</f>
        <v>2.2560969984135575</v>
      </c>
      <c r="Q32" s="3"/>
      <c r="R32" s="3">
        <f>S31/$AD$7</f>
        <v>2.2560969984135579</v>
      </c>
      <c r="S32" s="3"/>
      <c r="T32" s="3">
        <f>U31/$AD$7</f>
        <v>2.2560969984135584</v>
      </c>
      <c r="U32" s="3"/>
      <c r="V32" s="2"/>
      <c r="W32" s="2"/>
      <c r="X32" s="3"/>
      <c r="Y32" s="4"/>
      <c r="Z32" s="5"/>
      <c r="AA32" s="2"/>
      <c r="AC32" s="1" t="s">
        <v>29</v>
      </c>
      <c r="AD32" s="1" t="s">
        <v>30</v>
      </c>
      <c r="AF32" s="36"/>
    </row>
    <row r="33" spans="1:32" x14ac:dyDescent="0.2">
      <c r="A33" s="2"/>
      <c r="B33" s="3"/>
      <c r="C33" s="3"/>
      <c r="D33" s="3"/>
      <c r="E33" s="3"/>
      <c r="F33" s="3"/>
      <c r="G33" s="3"/>
      <c r="H33" s="3"/>
      <c r="I33" s="3"/>
      <c r="J33" s="3"/>
      <c r="K33" s="3">
        <f>L32/$AD$7</f>
        <v>1.9828533309474039</v>
      </c>
      <c r="L33" s="3"/>
      <c r="M33" s="3">
        <f>N32/$AD$7</f>
        <v>1.9828533309474032</v>
      </c>
      <c r="N33" s="3"/>
      <c r="O33" s="3">
        <f>P32/$AD$7</f>
        <v>1.9828533309474032</v>
      </c>
      <c r="P33" s="3"/>
      <c r="Q33" s="3">
        <f>R32/$AD$7</f>
        <v>1.9828533309474037</v>
      </c>
      <c r="R33" s="3"/>
      <c r="S33" s="3">
        <f>T32/$AD$7</f>
        <v>1.9828533309474039</v>
      </c>
      <c r="T33" s="3"/>
      <c r="U33" s="3">
        <f>$AD$9*($AD$7^AF33)*($AD$8^($AD$6-AF33))</f>
        <v>1.9828533309474037</v>
      </c>
      <c r="V33" s="2"/>
      <c r="W33" s="2">
        <f>MAX(0,U33-$AD$11)</f>
        <v>0</v>
      </c>
      <c r="X33" s="3" t="e">
        <f>COMBIN($AD$6,AF33)</f>
        <v>#NUM!</v>
      </c>
      <c r="Y33" s="4">
        <f>($AD$14^AF33)*((1-$AD$14)^($AD$6-AF33))</f>
        <v>0.23769486215947166</v>
      </c>
      <c r="Z33" s="5" t="e">
        <f>X33*Y33</f>
        <v>#NUM!</v>
      </c>
      <c r="AA33" s="2" t="e">
        <f>W33*Z33</f>
        <v>#NUM!</v>
      </c>
      <c r="AC33" s="1" t="s">
        <v>40</v>
      </c>
      <c r="AD33" s="1" t="s">
        <v>41</v>
      </c>
      <c r="AF33" s="36">
        <f>AF31-1</f>
        <v>-11</v>
      </c>
    </row>
    <row r="34" spans="1:32" x14ac:dyDescent="0.2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f>M33/$AD$7</f>
        <v>1.7427031438869476</v>
      </c>
      <c r="M34" s="3"/>
      <c r="N34" s="3">
        <f>O33/$AD$7</f>
        <v>1.7427031438869476</v>
      </c>
      <c r="O34" s="3"/>
      <c r="P34" s="3">
        <f>Q33/$AD$7</f>
        <v>1.7427031438869478</v>
      </c>
      <c r="Q34" s="3"/>
      <c r="R34" s="3">
        <f>S33/$AD$7</f>
        <v>1.742703143886948</v>
      </c>
      <c r="S34" s="3"/>
      <c r="T34" s="3">
        <f>U33/$AD$7</f>
        <v>1.7427031438869478</v>
      </c>
      <c r="U34" s="3"/>
      <c r="V34" s="2"/>
      <c r="W34" s="2"/>
      <c r="X34" s="3"/>
      <c r="Y34" s="4"/>
      <c r="Z34" s="5"/>
      <c r="AA34" s="2"/>
      <c r="AC34" s="1" t="s">
        <v>42</v>
      </c>
      <c r="AD34" s="1" t="s">
        <v>43</v>
      </c>
      <c r="AF34" s="36"/>
    </row>
    <row r="35" spans="1:32" x14ac:dyDescent="0.2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>
        <f>N34/$AD$7</f>
        <v>1.5316383719931377</v>
      </c>
      <c r="N35" s="3"/>
      <c r="O35" s="3">
        <f>P34/$AD$7</f>
        <v>1.5316383719931379</v>
      </c>
      <c r="P35" s="3"/>
      <c r="Q35" s="3">
        <f>R34/$AD$7</f>
        <v>1.5316383719931381</v>
      </c>
      <c r="R35" s="3"/>
      <c r="S35" s="3">
        <f>T34/$AD$7</f>
        <v>1.5316383719931379</v>
      </c>
      <c r="T35" s="3"/>
      <c r="U35" s="3">
        <f>$AD$9*($AD$7^AF35)*($AD$8^($AD$6-AF35))</f>
        <v>1.5316383719931379</v>
      </c>
      <c r="V35" s="2"/>
      <c r="W35" s="2">
        <f>MAX(0,U35-$AD$11)</f>
        <v>0</v>
      </c>
      <c r="X35" s="3" t="e">
        <f>COMBIN($AD$6,AF35)</f>
        <v>#NUM!</v>
      </c>
      <c r="Y35" s="4">
        <f>($AD$14^AF35)*((1-$AD$14)^($AD$6-AF35))</f>
        <v>0.25025520560310471</v>
      </c>
      <c r="Z35" s="5" t="e">
        <f>X35*Y35</f>
        <v>#NUM!</v>
      </c>
      <c r="AA35" s="2" t="e">
        <f>W35*Z35</f>
        <v>#NUM!</v>
      </c>
      <c r="AC35" s="1" t="s">
        <v>37</v>
      </c>
      <c r="AD35" s="1" t="s">
        <v>36</v>
      </c>
      <c r="AF35" s="36">
        <f>AF33-1</f>
        <v>-12</v>
      </c>
    </row>
    <row r="36" spans="1:32" x14ac:dyDescent="0.2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f>O35/$AD$7</f>
        <v>1.3461363805940167</v>
      </c>
      <c r="O36" s="3"/>
      <c r="P36" s="3">
        <f>Q35/$AD$7</f>
        <v>1.346136380594017</v>
      </c>
      <c r="Q36" s="3"/>
      <c r="R36" s="3">
        <f>S35/$AD$7</f>
        <v>1.3461363805940167</v>
      </c>
      <c r="S36" s="3"/>
      <c r="T36" s="3">
        <f>U35/$AD$7</f>
        <v>1.3461363805940167</v>
      </c>
      <c r="U36" s="3"/>
      <c r="V36" s="2"/>
      <c r="W36" s="2"/>
      <c r="X36" s="3"/>
      <c r="Y36" s="4"/>
      <c r="Z36" s="5"/>
      <c r="AA36" s="2"/>
      <c r="AC36" s="1" t="s">
        <v>38</v>
      </c>
      <c r="AD36" s="1" t="s">
        <v>39</v>
      </c>
      <c r="AF36" s="36"/>
    </row>
    <row r="37" spans="1:32" x14ac:dyDescent="0.2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>
        <f>P36/$AD$7</f>
        <v>1.1831011734190728</v>
      </c>
      <c r="P37" s="3"/>
      <c r="Q37" s="3">
        <f>R36/$AD$7</f>
        <v>1.1831011734190726</v>
      </c>
      <c r="R37" s="3"/>
      <c r="S37" s="3">
        <f>T36/$AD$7</f>
        <v>1.1831011734190726</v>
      </c>
      <c r="T37" s="3"/>
      <c r="U37" s="3">
        <f>$AD$9*($AD$7^AF37)*($AD$8^($AD$6-AF37))</f>
        <v>1.1831011734190724</v>
      </c>
      <c r="V37" s="2"/>
      <c r="W37" s="2">
        <f>MAX(0,U37-$AD$11)</f>
        <v>0</v>
      </c>
      <c r="X37" s="3" t="e">
        <f>COMBIN($AD$6,AF37)</f>
        <v>#NUM!</v>
      </c>
      <c r="Y37" s="4">
        <f>($AD$14^AF37)*((1-$AD$14)^($AD$6-AF37))</f>
        <v>0.26347926649518716</v>
      </c>
      <c r="Z37" s="5" t="e">
        <f>X37*Y37</f>
        <v>#NUM!</v>
      </c>
      <c r="AA37" s="2" t="e">
        <f>W37*Z37</f>
        <v>#NUM!</v>
      </c>
      <c r="AC37" s="1" t="s">
        <v>35</v>
      </c>
      <c r="AD37" s="1" t="s">
        <v>34</v>
      </c>
      <c r="AF37" s="36">
        <f>AF35-1</f>
        <v>-13</v>
      </c>
    </row>
    <row r="38" spans="1:32" x14ac:dyDescent="0.2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>
        <f>Q37/$AD$7</f>
        <v>1.0398117209549904</v>
      </c>
      <c r="Q38" s="3"/>
      <c r="R38" s="3">
        <f>S37/$AD$7</f>
        <v>1.0398117209549904</v>
      </c>
      <c r="S38" s="3"/>
      <c r="T38" s="3">
        <f>U37/$AD$7</f>
        <v>1.0398117209549902</v>
      </c>
      <c r="U38" s="3"/>
      <c r="V38" s="2"/>
      <c r="W38" s="2"/>
      <c r="X38" s="3"/>
      <c r="Y38" s="4"/>
      <c r="Z38" s="5"/>
      <c r="AA38" s="2"/>
      <c r="AC38" s="1" t="s">
        <v>28</v>
      </c>
      <c r="AD38" s="1" t="s">
        <v>27</v>
      </c>
      <c r="AF38" s="36"/>
    </row>
    <row r="39" spans="1:32" x14ac:dyDescent="0.2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>
        <f>R38/$AD$7</f>
        <v>0.91387654693196574</v>
      </c>
      <c r="R39" s="3"/>
      <c r="S39" s="3">
        <f>T38/$AD$7</f>
        <v>0.91387654693196552</v>
      </c>
      <c r="T39" s="3"/>
      <c r="U39" s="3">
        <f>$AD$9*($AD$7^AF39)*($AD$8^($AD$6-AF39))</f>
        <v>0.91387654693196563</v>
      </c>
      <c r="V39" s="2"/>
      <c r="W39" s="2">
        <f>MAX(0,U39-$AD$11)</f>
        <v>0</v>
      </c>
      <c r="X39" s="3" t="e">
        <f>COMBIN($AD$6,AF39)</f>
        <v>#NUM!</v>
      </c>
      <c r="Y39" s="4">
        <f>($AD$14^AF39)*((1-$AD$14)^($AD$6-AF39))</f>
        <v>0.27740211719288449</v>
      </c>
      <c r="Z39" s="5" t="e">
        <f>X39*Y39</f>
        <v>#NUM!</v>
      </c>
      <c r="AA39" s="2" t="e">
        <f>W39*Z39</f>
        <v>#NUM!</v>
      </c>
      <c r="AC39" s="1" t="s">
        <v>44</v>
      </c>
      <c r="AD39" s="1" t="s">
        <v>45</v>
      </c>
      <c r="AF39" s="36">
        <f>AF37-1</f>
        <v>-14</v>
      </c>
    </row>
    <row r="40" spans="1:32" x14ac:dyDescent="0.2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>
        <f>S39/$AD$7</f>
        <v>0.80319381499686382</v>
      </c>
      <c r="S40" s="3"/>
      <c r="T40" s="3">
        <f>U39/$AD$7</f>
        <v>0.80319381499686393</v>
      </c>
      <c r="U40" s="3"/>
      <c r="V40" s="2"/>
      <c r="W40" s="2"/>
      <c r="X40" s="3"/>
      <c r="Y40" s="4"/>
      <c r="Z40" s="5"/>
      <c r="AA40" s="2"/>
      <c r="AF40" s="36"/>
    </row>
    <row r="41" spans="1:32" x14ac:dyDescent="0.2">
      <c r="A41" s="2"/>
      <c r="B41" s="3"/>
      <c r="C41" s="3"/>
      <c r="D41" s="3"/>
      <c r="E41" s="2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>
        <f>T40/$AD$7</f>
        <v>0.70591624942667786</v>
      </c>
      <c r="T41" s="3"/>
      <c r="U41" s="3">
        <f>$AD$9*($AD$7^AF41)*($AD$8^($AD$6-AF41))</f>
        <v>0.70591624942667797</v>
      </c>
      <c r="V41" s="2"/>
      <c r="W41" s="2">
        <f>MAX(0,U41-$AD$11)</f>
        <v>0</v>
      </c>
      <c r="X41" s="3" t="e">
        <f>COMBIN($AD$6,AF41)</f>
        <v>#NUM!</v>
      </c>
      <c r="Y41" s="4">
        <f>($AD$14^AF41)*((1-$AD$14)^($AD$6-AF41))</f>
        <v>0.29206068335741497</v>
      </c>
      <c r="Z41" s="5" t="e">
        <f>X41*Y41</f>
        <v>#NUM!</v>
      </c>
      <c r="AA41" s="2" t="e">
        <f>W41*Z41</f>
        <v>#NUM!</v>
      </c>
      <c r="AF41" s="36">
        <f>AF39-1</f>
        <v>-15</v>
      </c>
    </row>
    <row r="42" spans="1:32" x14ac:dyDescent="0.2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>
        <f>U41/$AD$7</f>
        <v>0.62042030441503515</v>
      </c>
      <c r="U42" s="3"/>
      <c r="V42" s="2"/>
      <c r="W42" s="2"/>
      <c r="X42" s="3"/>
      <c r="Y42" s="4"/>
      <c r="Z42" s="5"/>
      <c r="AA42" s="2"/>
      <c r="AF42" s="36"/>
    </row>
    <row r="43" spans="1:32" x14ac:dyDescent="0.2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>
        <f>$AD$9*($AD$7^AF43)*($AD$8^($AD$6-AF43))</f>
        <v>0.54527906737246123</v>
      </c>
      <c r="V43" s="2"/>
      <c r="W43" s="2">
        <f>MAX(0,U43-$AD$11)</f>
        <v>0</v>
      </c>
      <c r="X43" s="3" t="e">
        <f>COMBIN($AD$6,AF43)</f>
        <v>#NUM!</v>
      </c>
      <c r="Y43" s="4">
        <f>($AD$14^AF43)*((1-$AD$14)^($AD$6-AF43))</f>
        <v>0.30749384188690032</v>
      </c>
      <c r="Z43" s="5" t="e">
        <f>X43*Y43</f>
        <v>#NUM!</v>
      </c>
      <c r="AA43" s="2" t="e">
        <f>W43*Z43</f>
        <v>#NUM!</v>
      </c>
      <c r="AF43" s="37">
        <f>AF41-1</f>
        <v>-16</v>
      </c>
    </row>
    <row r="46" spans="1:32" x14ac:dyDescent="0.2">
      <c r="X46" s="1" cm="1">
        <f t="array" ref="X46">SUM(IF(ISNUMBER(X5:X43),X5:X43))</f>
        <v>8</v>
      </c>
      <c r="Z46" s="5" cm="1">
        <f t="array" ref="Z46">SUM(IF(ISNUMBER(Z5:Z43),Z5:Z43))</f>
        <v>0.99999999999999978</v>
      </c>
      <c r="AA46" s="2" cm="1">
        <f t="array" ref="AA46">SUM(IF(ISNUMBER(AA5:AA43),AA5:AA43))</f>
        <v>7.6528869990298762</v>
      </c>
      <c r="AB46" s="5"/>
    </row>
    <row r="48" spans="1:32" x14ac:dyDescent="0.2">
      <c r="X48" s="1" t="s">
        <v>9</v>
      </c>
    </row>
    <row r="49" spans="24:24" x14ac:dyDescent="0.2">
      <c r="X49" s="1" t="s">
        <v>10</v>
      </c>
    </row>
    <row r="50" spans="24:24" x14ac:dyDescent="0.2">
      <c r="X50" s="1" t="s">
        <v>11</v>
      </c>
    </row>
    <row r="52" spans="24:24" x14ac:dyDescent="0.2">
      <c r="X52" s="3"/>
    </row>
  </sheetData>
  <mergeCells count="4">
    <mergeCell ref="AC3:AD3"/>
    <mergeCell ref="AC22:AD22"/>
    <mergeCell ref="AC30:AD30"/>
    <mergeCell ref="AC25:AD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82E3-2B2C-0141-856F-BC84FFD08028}">
  <dimension ref="C2:D26"/>
  <sheetViews>
    <sheetView workbookViewId="0">
      <selection activeCell="M23" sqref="M23"/>
    </sheetView>
  </sheetViews>
  <sheetFormatPr baseColWidth="10" defaultRowHeight="16" x14ac:dyDescent="0.2"/>
  <cols>
    <col min="1" max="16384" width="10.83203125" style="1"/>
  </cols>
  <sheetData>
    <row r="2" spans="3:4" x14ac:dyDescent="0.2">
      <c r="C2" s="1" t="s">
        <v>51</v>
      </c>
    </row>
    <row r="3" spans="3:4" x14ac:dyDescent="0.2">
      <c r="C3" s="26" t="s">
        <v>3</v>
      </c>
      <c r="D3" s="27">
        <f>Binomial!AD9</f>
        <v>50</v>
      </c>
    </row>
    <row r="4" spans="3:4" x14ac:dyDescent="0.2">
      <c r="C4" s="28" t="s">
        <v>7</v>
      </c>
      <c r="D4" s="29">
        <f>Binomial!AD11</f>
        <v>45</v>
      </c>
    </row>
    <row r="5" spans="3:4" x14ac:dyDescent="0.2">
      <c r="C5" s="28" t="s">
        <v>17</v>
      </c>
      <c r="D5" s="29">
        <f>Binomial!AD5</f>
        <v>0.25</v>
      </c>
    </row>
    <row r="6" spans="3:4" x14ac:dyDescent="0.2">
      <c r="C6" s="28" t="s">
        <v>5</v>
      </c>
      <c r="D6" s="30">
        <f>Binomial!AD10</f>
        <v>0.06</v>
      </c>
    </row>
    <row r="7" spans="3:4" x14ac:dyDescent="0.2">
      <c r="C7" s="31" t="s">
        <v>50</v>
      </c>
      <c r="D7" s="32">
        <f>Binomial!AD16</f>
        <v>0.44721359549995793</v>
      </c>
    </row>
    <row r="9" spans="3:4" x14ac:dyDescent="0.2">
      <c r="C9" s="1" t="s">
        <v>18</v>
      </c>
      <c r="D9" s="1">
        <f>D7^2</f>
        <v>0.19999999999999998</v>
      </c>
    </row>
    <row r="11" spans="3:4" x14ac:dyDescent="0.2">
      <c r="C11" s="1" t="s">
        <v>19</v>
      </c>
      <c r="D11" s="1">
        <f>LN(D3/D4)</f>
        <v>0.10536051565782635</v>
      </c>
    </row>
    <row r="12" spans="3:4" x14ac:dyDescent="0.2">
      <c r="C12" s="1" t="s">
        <v>20</v>
      </c>
      <c r="D12" s="1">
        <f>(D6+D9/2)*D5</f>
        <v>3.9999999999999994E-2</v>
      </c>
    </row>
    <row r="13" spans="3:4" x14ac:dyDescent="0.2">
      <c r="C13" s="1" t="s">
        <v>21</v>
      </c>
      <c r="D13" s="1">
        <f>SQRT(D9*D5)</f>
        <v>0.22360679774997896</v>
      </c>
    </row>
    <row r="15" spans="3:4" x14ac:dyDescent="0.2">
      <c r="C15" s="1" t="s">
        <v>22</v>
      </c>
      <c r="D15" s="1">
        <f>(D11+D12)/D13</f>
        <v>0.65007198851064452</v>
      </c>
    </row>
    <row r="16" spans="3:4" x14ac:dyDescent="0.2">
      <c r="C16" s="1" t="s">
        <v>23</v>
      </c>
      <c r="D16" s="1">
        <f>D15-D13</f>
        <v>0.42646519076066558</v>
      </c>
    </row>
    <row r="18" spans="3:4" x14ac:dyDescent="0.2">
      <c r="C18" s="1" t="s">
        <v>24</v>
      </c>
      <c r="D18" s="1">
        <f>_xlfn.NORM.DIST(D15,0,1,1)</f>
        <v>0.74217713894930537</v>
      </c>
    </row>
    <row r="19" spans="3:4" x14ac:dyDescent="0.2">
      <c r="C19" s="1" t="s">
        <v>25</v>
      </c>
      <c r="D19" s="1">
        <f>_xlfn.NORM.DIST(D16,0,1,1)</f>
        <v>0.66511554631500369</v>
      </c>
    </row>
    <row r="21" spans="3:4" x14ac:dyDescent="0.2">
      <c r="C21" s="1" t="s">
        <v>26</v>
      </c>
      <c r="D21" s="1">
        <f>EXP(-D6*D5)</f>
        <v>0.98511193960306265</v>
      </c>
    </row>
    <row r="23" spans="3:4" x14ac:dyDescent="0.2">
      <c r="C23" s="68" t="s">
        <v>48</v>
      </c>
      <c r="D23" s="69"/>
    </row>
    <row r="24" spans="3:4" x14ac:dyDescent="0.2">
      <c r="C24" s="22" t="s">
        <v>16</v>
      </c>
      <c r="D24" s="23">
        <f>D3*D18-D4*D21*D19</f>
        <v>7.6242599823916954</v>
      </c>
    </row>
    <row r="26" spans="3:4" x14ac:dyDescent="0.2">
      <c r="C26" s="22" t="s">
        <v>74</v>
      </c>
      <c r="D26" s="59">
        <f>D24+D4*EXP(-1*D6*D5)-D3</f>
        <v>1.9542972645295151</v>
      </c>
    </row>
  </sheetData>
  <mergeCells count="1">
    <mergeCell ref="C23:D2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641a79b-5684-4ff8-89b0-3b715ae642f9}" enabled="1" method="Privileged" siteId="{adee44b2-91fc-40f1-abdd-9cc29351b5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Booklet BS</vt:lpstr>
      <vt:lpstr>Binomial one-step</vt:lpstr>
      <vt:lpstr>Binomial</vt:lpstr>
      <vt:lpstr>Black-Scholes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Norli, Øyvind</cp:lastModifiedBy>
  <dcterms:created xsi:type="dcterms:W3CDTF">2022-11-16T19:50:38Z</dcterms:created>
  <dcterms:modified xsi:type="dcterms:W3CDTF">2026-10-30T10:40:39Z</dcterms:modified>
</cp:coreProperties>
</file>