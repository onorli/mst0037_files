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yvind/Projects/mst0037_files/files/"/>
    </mc:Choice>
  </mc:AlternateContent>
  <xr:revisionPtr revIDLastSave="0" documentId="13_ncr:1_{B4D1E153-34B5-6048-926B-E0B2FC0A992E}" xr6:coauthVersionLast="47" xr6:coauthVersionMax="47" xr10:uidLastSave="{00000000-0000-0000-0000-000000000000}"/>
  <bookViews>
    <workbookView xWindow="2440" yWindow="960" windowWidth="30860" windowHeight="19660" xr2:uid="{576FED04-51EF-B941-9509-7287B3CC88A6}"/>
  </bookViews>
  <sheets>
    <sheet name="Booklet BS" sheetId="7" r:id="rId1"/>
    <sheet name="Binomial one-step" sheetId="5" r:id="rId2"/>
    <sheet name="Binomial n steps" sheetId="8" r:id="rId3"/>
    <sheet name="Black-Schole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8" l="1"/>
  <c r="O76" i="8"/>
  <c r="O13" i="8"/>
  <c r="E13" i="8" s="1"/>
  <c r="N74" i="8"/>
  <c r="M72" i="8"/>
  <c r="N72" i="8" s="1"/>
  <c r="K72" i="8"/>
  <c r="J72" i="8"/>
  <c r="I72" i="8"/>
  <c r="L72" i="8" s="1"/>
  <c r="M71" i="8"/>
  <c r="N71" i="8" s="1"/>
  <c r="K71" i="8"/>
  <c r="J71" i="8"/>
  <c r="I71" i="8"/>
  <c r="L71" i="8" s="1"/>
  <c r="M70" i="8"/>
  <c r="N70" i="8" s="1"/>
  <c r="K70" i="8"/>
  <c r="J70" i="8"/>
  <c r="I70" i="8"/>
  <c r="L70" i="8" s="1"/>
  <c r="M69" i="8"/>
  <c r="N69" i="8" s="1"/>
  <c r="K69" i="8"/>
  <c r="J69" i="8"/>
  <c r="I69" i="8"/>
  <c r="L69" i="8" s="1"/>
  <c r="M68" i="8"/>
  <c r="N68" i="8" s="1"/>
  <c r="K68" i="8"/>
  <c r="J68" i="8"/>
  <c r="I68" i="8"/>
  <c r="L68" i="8" s="1"/>
  <c r="M67" i="8"/>
  <c r="N67" i="8" s="1"/>
  <c r="K67" i="8"/>
  <c r="J67" i="8"/>
  <c r="I67" i="8"/>
  <c r="L67" i="8" s="1"/>
  <c r="M66" i="8"/>
  <c r="N66" i="8" s="1"/>
  <c r="K66" i="8"/>
  <c r="J66" i="8"/>
  <c r="I66" i="8"/>
  <c r="L66" i="8" s="1"/>
  <c r="M65" i="8"/>
  <c r="N65" i="8" s="1"/>
  <c r="K65" i="8"/>
  <c r="J65" i="8"/>
  <c r="I65" i="8"/>
  <c r="L65" i="8" s="1"/>
  <c r="M64" i="8"/>
  <c r="N64" i="8" s="1"/>
  <c r="O64" i="8" s="1"/>
  <c r="K64" i="8"/>
  <c r="J64" i="8"/>
  <c r="L64" i="8" s="1"/>
  <c r="I64" i="8"/>
  <c r="M63" i="8"/>
  <c r="N63" i="8" s="1"/>
  <c r="K63" i="8"/>
  <c r="J63" i="8"/>
  <c r="I63" i="8"/>
  <c r="L63" i="8" s="1"/>
  <c r="M62" i="8"/>
  <c r="N62" i="8" s="1"/>
  <c r="O62" i="8" s="1"/>
  <c r="K62" i="8"/>
  <c r="J62" i="8"/>
  <c r="I62" i="8"/>
  <c r="L62" i="8" s="1"/>
  <c r="M61" i="8"/>
  <c r="N61" i="8" s="1"/>
  <c r="O61" i="8" s="1"/>
  <c r="K61" i="8"/>
  <c r="J61" i="8"/>
  <c r="I61" i="8"/>
  <c r="L61" i="8" s="1"/>
  <c r="M60" i="8"/>
  <c r="N60" i="8" s="1"/>
  <c r="K60" i="8"/>
  <c r="J60" i="8"/>
  <c r="I60" i="8"/>
  <c r="L60" i="8" s="1"/>
  <c r="N59" i="8"/>
  <c r="M59" i="8"/>
  <c r="K59" i="8"/>
  <c r="J59" i="8"/>
  <c r="I59" i="8"/>
  <c r="L59" i="8" s="1"/>
  <c r="M58" i="8"/>
  <c r="N58" i="8" s="1"/>
  <c r="O58" i="8" s="1"/>
  <c r="K58" i="8"/>
  <c r="J58" i="8"/>
  <c r="I58" i="8"/>
  <c r="L58" i="8" s="1"/>
  <c r="M57" i="8"/>
  <c r="N57" i="8" s="1"/>
  <c r="K57" i="8"/>
  <c r="J57" i="8"/>
  <c r="I57" i="8"/>
  <c r="L57" i="8" s="1"/>
  <c r="M56" i="8"/>
  <c r="N56" i="8" s="1"/>
  <c r="O56" i="8" s="1"/>
  <c r="K56" i="8"/>
  <c r="J56" i="8"/>
  <c r="I56" i="8"/>
  <c r="L56" i="8" s="1"/>
  <c r="M55" i="8"/>
  <c r="N55" i="8" s="1"/>
  <c r="O55" i="8" s="1"/>
  <c r="K55" i="8"/>
  <c r="J55" i="8"/>
  <c r="I55" i="8"/>
  <c r="L55" i="8" s="1"/>
  <c r="M54" i="8"/>
  <c r="N54" i="8" s="1"/>
  <c r="K54" i="8"/>
  <c r="J54" i="8"/>
  <c r="I54" i="8"/>
  <c r="L54" i="8" s="1"/>
  <c r="M53" i="8"/>
  <c r="N53" i="8" s="1"/>
  <c r="O53" i="8" s="1"/>
  <c r="K53" i="8"/>
  <c r="J53" i="8"/>
  <c r="I53" i="8"/>
  <c r="L53" i="8" s="1"/>
  <c r="M52" i="8"/>
  <c r="N52" i="8" s="1"/>
  <c r="O52" i="8" s="1"/>
  <c r="K52" i="8"/>
  <c r="J52" i="8"/>
  <c r="I52" i="8"/>
  <c r="L52" i="8" s="1"/>
  <c r="M51" i="8"/>
  <c r="N51" i="8" s="1"/>
  <c r="O51" i="8" s="1"/>
  <c r="K51" i="8"/>
  <c r="J51" i="8"/>
  <c r="I51" i="8"/>
  <c r="L51" i="8" s="1"/>
  <c r="M50" i="8"/>
  <c r="N50" i="8" s="1"/>
  <c r="O50" i="8" s="1"/>
  <c r="K50" i="8"/>
  <c r="J50" i="8"/>
  <c r="I50" i="8"/>
  <c r="L50" i="8" s="1"/>
  <c r="M49" i="8"/>
  <c r="N49" i="8" s="1"/>
  <c r="O49" i="8" s="1"/>
  <c r="K49" i="8"/>
  <c r="J49" i="8"/>
  <c r="I49" i="8"/>
  <c r="L49" i="8" s="1"/>
  <c r="M48" i="8"/>
  <c r="N48" i="8" s="1"/>
  <c r="O48" i="8" s="1"/>
  <c r="K48" i="8"/>
  <c r="J48" i="8"/>
  <c r="I48" i="8"/>
  <c r="L48" i="8" s="1"/>
  <c r="M47" i="8"/>
  <c r="N47" i="8" s="1"/>
  <c r="O47" i="8" s="1"/>
  <c r="K47" i="8"/>
  <c r="J47" i="8"/>
  <c r="I47" i="8"/>
  <c r="L47" i="8" s="1"/>
  <c r="M46" i="8"/>
  <c r="N46" i="8" s="1"/>
  <c r="K46" i="8"/>
  <c r="J46" i="8"/>
  <c r="I46" i="8"/>
  <c r="L46" i="8" s="1"/>
  <c r="M45" i="8"/>
  <c r="N45" i="8" s="1"/>
  <c r="O45" i="8" s="1"/>
  <c r="K45" i="8"/>
  <c r="J45" i="8"/>
  <c r="I45" i="8"/>
  <c r="L45" i="8" s="1"/>
  <c r="M44" i="8"/>
  <c r="N44" i="8" s="1"/>
  <c r="O44" i="8" s="1"/>
  <c r="K44" i="8"/>
  <c r="J44" i="8"/>
  <c r="I44" i="8"/>
  <c r="L44" i="8" s="1"/>
  <c r="M43" i="8"/>
  <c r="N43" i="8" s="1"/>
  <c r="O43" i="8" s="1"/>
  <c r="K43" i="8"/>
  <c r="J43" i="8"/>
  <c r="I43" i="8"/>
  <c r="L43" i="8" s="1"/>
  <c r="M42" i="8"/>
  <c r="N42" i="8" s="1"/>
  <c r="O42" i="8" s="1"/>
  <c r="K42" i="8"/>
  <c r="J42" i="8"/>
  <c r="I42" i="8"/>
  <c r="L42" i="8" s="1"/>
  <c r="M41" i="8"/>
  <c r="N41" i="8" s="1"/>
  <c r="O41" i="8" s="1"/>
  <c r="K41" i="8"/>
  <c r="J41" i="8"/>
  <c r="I41" i="8"/>
  <c r="L41" i="8" s="1"/>
  <c r="M40" i="8"/>
  <c r="N40" i="8" s="1"/>
  <c r="O40" i="8" s="1"/>
  <c r="K40" i="8"/>
  <c r="J40" i="8"/>
  <c r="I40" i="8"/>
  <c r="L40" i="8" s="1"/>
  <c r="M39" i="8"/>
  <c r="N39" i="8" s="1"/>
  <c r="O39" i="8" s="1"/>
  <c r="K39" i="8"/>
  <c r="J39" i="8"/>
  <c r="I39" i="8"/>
  <c r="L39" i="8" s="1"/>
  <c r="M38" i="8"/>
  <c r="N38" i="8" s="1"/>
  <c r="O38" i="8" s="1"/>
  <c r="K38" i="8"/>
  <c r="J38" i="8"/>
  <c r="I38" i="8"/>
  <c r="L38" i="8" s="1"/>
  <c r="M37" i="8"/>
  <c r="N37" i="8" s="1"/>
  <c r="O37" i="8" s="1"/>
  <c r="K37" i="8"/>
  <c r="J37" i="8"/>
  <c r="I37" i="8"/>
  <c r="L37" i="8" s="1"/>
  <c r="M36" i="8"/>
  <c r="N36" i="8" s="1"/>
  <c r="K36" i="8"/>
  <c r="J36" i="8"/>
  <c r="I36" i="8"/>
  <c r="L36" i="8" s="1"/>
  <c r="M35" i="8"/>
  <c r="N35" i="8" s="1"/>
  <c r="K35" i="8"/>
  <c r="J35" i="8"/>
  <c r="I35" i="8"/>
  <c r="L35" i="8" s="1"/>
  <c r="M34" i="8"/>
  <c r="N34" i="8" s="1"/>
  <c r="K34" i="8"/>
  <c r="J34" i="8"/>
  <c r="I34" i="8"/>
  <c r="L34" i="8" s="1"/>
  <c r="M33" i="8"/>
  <c r="N33" i="8" s="1"/>
  <c r="K33" i="8"/>
  <c r="J33" i="8"/>
  <c r="I33" i="8"/>
  <c r="L33" i="8" s="1"/>
  <c r="M32" i="8"/>
  <c r="N32" i="8" s="1"/>
  <c r="K32" i="8"/>
  <c r="J32" i="8"/>
  <c r="I32" i="8"/>
  <c r="L32" i="8" s="1"/>
  <c r="M31" i="8"/>
  <c r="N31" i="8" s="1"/>
  <c r="K31" i="8"/>
  <c r="J31" i="8"/>
  <c r="I31" i="8"/>
  <c r="L31" i="8" s="1"/>
  <c r="M30" i="8"/>
  <c r="N30" i="8" s="1"/>
  <c r="K30" i="8"/>
  <c r="J30" i="8"/>
  <c r="I30" i="8"/>
  <c r="L30" i="8" s="1"/>
  <c r="M29" i="8"/>
  <c r="N29" i="8" s="1"/>
  <c r="K29" i="8"/>
  <c r="J29" i="8"/>
  <c r="I29" i="8"/>
  <c r="L29" i="8" s="1"/>
  <c r="M28" i="8"/>
  <c r="N28" i="8" s="1"/>
  <c r="K28" i="8"/>
  <c r="J28" i="8"/>
  <c r="I28" i="8"/>
  <c r="L28" i="8" s="1"/>
  <c r="M27" i="8"/>
  <c r="N27" i="8" s="1"/>
  <c r="K27" i="8"/>
  <c r="J27" i="8"/>
  <c r="I27" i="8"/>
  <c r="L27" i="8" s="1"/>
  <c r="M26" i="8"/>
  <c r="N26" i="8" s="1"/>
  <c r="K26" i="8"/>
  <c r="J26" i="8"/>
  <c r="I26" i="8"/>
  <c r="L26" i="8" s="1"/>
  <c r="M25" i="8"/>
  <c r="N25" i="8" s="1"/>
  <c r="K25" i="8"/>
  <c r="J25" i="8"/>
  <c r="I25" i="8"/>
  <c r="L25" i="8" s="1"/>
  <c r="M24" i="8"/>
  <c r="N24" i="8" s="1"/>
  <c r="O24" i="8" s="1"/>
  <c r="K24" i="8"/>
  <c r="J24" i="8"/>
  <c r="I24" i="8"/>
  <c r="L24" i="8" s="1"/>
  <c r="M22" i="8"/>
  <c r="N22" i="8" s="1"/>
  <c r="K22" i="8"/>
  <c r="J22" i="8"/>
  <c r="I22" i="8"/>
  <c r="L22" i="8" s="1"/>
  <c r="N23" i="8"/>
  <c r="M23" i="8"/>
  <c r="J23" i="8"/>
  <c r="K23" i="8"/>
  <c r="I23" i="8"/>
  <c r="H72" i="8"/>
  <c r="H71" i="8"/>
  <c r="H24" i="8"/>
  <c r="H25" i="8" s="1"/>
  <c r="H26" i="8" s="1"/>
  <c r="H27" i="8" s="1"/>
  <c r="H28" i="8" s="1"/>
  <c r="H29" i="8" s="1"/>
  <c r="H30" i="8" s="1"/>
  <c r="H31" i="8" s="1"/>
  <c r="H32" i="8" s="1"/>
  <c r="H33" i="8" s="1"/>
  <c r="H34" i="8" s="1"/>
  <c r="H35" i="8" s="1"/>
  <c r="H36" i="8" s="1"/>
  <c r="H37" i="8" s="1"/>
  <c r="H38" i="8" s="1"/>
  <c r="H39" i="8" s="1"/>
  <c r="H40" i="8" s="1"/>
  <c r="H41" i="8" s="1"/>
  <c r="H42" i="8" s="1"/>
  <c r="H43" i="8" s="1"/>
  <c r="H44" i="8" s="1"/>
  <c r="H45" i="8" s="1"/>
  <c r="H46" i="8" s="1"/>
  <c r="H47" i="8" s="1"/>
  <c r="H48" i="8" s="1"/>
  <c r="H49" i="8" s="1"/>
  <c r="H50" i="8" s="1"/>
  <c r="H51" i="8" s="1"/>
  <c r="H52" i="8" s="1"/>
  <c r="H53" i="8" s="1"/>
  <c r="H54" i="8" s="1"/>
  <c r="H55" i="8" s="1"/>
  <c r="H56" i="8" s="1"/>
  <c r="H57" i="8" s="1"/>
  <c r="H58" i="8" s="1"/>
  <c r="H59" i="8" s="1"/>
  <c r="H60" i="8" s="1"/>
  <c r="H61" i="8" s="1"/>
  <c r="H62" i="8" s="1"/>
  <c r="H63" i="8" s="1"/>
  <c r="H64" i="8" s="1"/>
  <c r="H65" i="8" s="1"/>
  <c r="H66" i="8" s="1"/>
  <c r="H67" i="8" s="1"/>
  <c r="H68" i="8" s="1"/>
  <c r="H69" i="8" s="1"/>
  <c r="H70" i="8" s="1"/>
  <c r="H23" i="8"/>
  <c r="E25" i="8"/>
  <c r="E26" i="8" s="1"/>
  <c r="E27" i="8" s="1"/>
  <c r="O10" i="8"/>
  <c r="O9" i="8"/>
  <c r="O8" i="8"/>
  <c r="O7" i="8"/>
  <c r="O6" i="8"/>
  <c r="O5" i="8"/>
  <c r="N11" i="8"/>
  <c r="N10" i="8"/>
  <c r="N9" i="8"/>
  <c r="N8" i="8"/>
  <c r="N7" i="8"/>
  <c r="N6" i="8"/>
  <c r="N5" i="8"/>
  <c r="M10" i="8"/>
  <c r="M9" i="8"/>
  <c r="M8" i="8"/>
  <c r="M7" i="8"/>
  <c r="M6" i="8"/>
  <c r="M5" i="8"/>
  <c r="K10" i="8"/>
  <c r="K9" i="8"/>
  <c r="K8" i="8"/>
  <c r="K7" i="8"/>
  <c r="K6" i="8"/>
  <c r="K5" i="8"/>
  <c r="I10" i="8"/>
  <c r="I9" i="8"/>
  <c r="I8" i="8"/>
  <c r="I7" i="8"/>
  <c r="I6" i="8"/>
  <c r="I5" i="8"/>
  <c r="E9" i="8"/>
  <c r="A4" i="7"/>
  <c r="B4" i="7" s="1"/>
  <c r="O72" i="8" l="1"/>
  <c r="O71" i="8"/>
  <c r="O70" i="8"/>
  <c r="O69" i="8"/>
  <c r="O68" i="8"/>
  <c r="O67" i="8"/>
  <c r="O66" i="8"/>
  <c r="O65" i="8"/>
  <c r="O63" i="8"/>
  <c r="O60" i="8"/>
  <c r="O59" i="8"/>
  <c r="O57" i="8"/>
  <c r="O46" i="8"/>
  <c r="O54" i="8"/>
  <c r="O36" i="8"/>
  <c r="O35" i="8"/>
  <c r="O34" i="8"/>
  <c r="O33" i="8"/>
  <c r="O32" i="8"/>
  <c r="O31" i="8"/>
  <c r="O30" i="8"/>
  <c r="O29" i="8"/>
  <c r="O28" i="8"/>
  <c r="O27" i="8"/>
  <c r="O26" i="8"/>
  <c r="O25" i="8"/>
  <c r="O22" i="8"/>
  <c r="L23" i="8"/>
  <c r="O23" i="8"/>
  <c r="E10" i="8"/>
  <c r="A6" i="7"/>
  <c r="E11" i="8" l="1"/>
  <c r="J10" i="8"/>
  <c r="L10" i="8" s="1"/>
  <c r="J8" i="8"/>
  <c r="L8" i="8" s="1"/>
  <c r="J7" i="8"/>
  <c r="L7" i="8" s="1"/>
  <c r="J6" i="8"/>
  <c r="L6" i="8" s="1"/>
  <c r="J5" i="8"/>
  <c r="L5" i="8" s="1"/>
  <c r="J9" i="8"/>
  <c r="L9" i="8" s="1"/>
  <c r="C41" i="5"/>
  <c r="C40" i="5"/>
  <c r="C34" i="5"/>
  <c r="B30" i="5"/>
  <c r="L18" i="5"/>
  <c r="L19" i="5" s="1"/>
  <c r="L9" i="5" s="1"/>
  <c r="E29" i="5" s="1"/>
  <c r="D7" i="2"/>
  <c r="D9" i="2" s="1"/>
  <c r="N7" i="5"/>
  <c r="N9" i="5" s="1"/>
  <c r="C5" i="5"/>
  <c r="B5" i="5" s="1"/>
  <c r="D6" i="2"/>
  <c r="D5" i="2"/>
  <c r="D4" i="2"/>
  <c r="D3" i="2"/>
  <c r="G18" i="5" l="1"/>
  <c r="G20" i="5" s="1"/>
  <c r="F9" i="5"/>
  <c r="L10" i="5"/>
  <c r="E31" i="5" s="1"/>
  <c r="C35" i="5" s="1"/>
  <c r="F7" i="5"/>
  <c r="D21" i="2"/>
  <c r="D11" i="2"/>
  <c r="D13" i="2"/>
  <c r="D12" i="2"/>
  <c r="C36" i="5" l="1"/>
  <c r="C37" i="5" s="1"/>
  <c r="L16" i="5"/>
  <c r="G7" i="5" s="1"/>
  <c r="H7" i="5" s="1"/>
  <c r="G19" i="5"/>
  <c r="C9" i="5"/>
  <c r="E9" i="5" s="1"/>
  <c r="C7" i="5"/>
  <c r="B8" i="5" s="1"/>
  <c r="D15" i="2"/>
  <c r="D18" i="2" s="1"/>
  <c r="G9" i="5" l="1"/>
  <c r="H9" i="5" s="1"/>
  <c r="I9" i="5" s="1"/>
  <c r="E7" i="5"/>
  <c r="I7" i="5" s="1"/>
  <c r="D16" i="2"/>
  <c r="D19" i="2" s="1"/>
  <c r="D24" i="2" s="1"/>
  <c r="D26" i="2" s="1"/>
  <c r="H11" i="5" l="1"/>
  <c r="I11" i="5"/>
  <c r="L25" i="5" l="1"/>
</calcChain>
</file>

<file path=xl/sharedStrings.xml><?xml version="1.0" encoding="utf-8"?>
<sst xmlns="http://schemas.openxmlformats.org/spreadsheetml/2006/main" count="127" uniqueCount="79">
  <si>
    <t>u</t>
  </si>
  <si>
    <t>d</t>
  </si>
  <si>
    <t>n</t>
  </si>
  <si>
    <t>S0</t>
  </si>
  <si>
    <t>pi</t>
  </si>
  <si>
    <t>RF</t>
  </si>
  <si>
    <t>Period ref.</t>
  </si>
  <si>
    <t>K</t>
  </si>
  <si>
    <t>n choose k</t>
  </si>
  <si>
    <t>CT</t>
  </si>
  <si>
    <t>E(CT)</t>
  </si>
  <si>
    <t>pi^k*(1-pi)^(n-k)</t>
  </si>
  <si>
    <t>Risk Neutral prob</t>
  </si>
  <si>
    <t>C0</t>
  </si>
  <si>
    <t>T</t>
  </si>
  <si>
    <t>Vol^2</t>
  </si>
  <si>
    <t>ln(S/K)</t>
  </si>
  <si>
    <t>(Rf+vol/2)T</t>
  </si>
  <si>
    <t>sqrt(vol*T)</t>
  </si>
  <si>
    <t>d1</t>
  </si>
  <si>
    <t>d2</t>
  </si>
  <si>
    <t>N(d1)</t>
  </si>
  <si>
    <t>N(d2)</t>
  </si>
  <si>
    <t>e^(-RfT)</t>
  </si>
  <si>
    <t># ups</t>
  </si>
  <si>
    <t>k =</t>
  </si>
  <si>
    <t>n =</t>
  </si>
  <si>
    <t># periods</t>
  </si>
  <si>
    <t>T =</t>
  </si>
  <si>
    <t>Years</t>
  </si>
  <si>
    <t>Sigma</t>
  </si>
  <si>
    <t>Volatility (std)</t>
  </si>
  <si>
    <t>Sigma =</t>
  </si>
  <si>
    <t>Stock price at time 0</t>
  </si>
  <si>
    <t>S0 =</t>
  </si>
  <si>
    <t>RF =</t>
  </si>
  <si>
    <t>Annual risk free rate</t>
  </si>
  <si>
    <t>u =</t>
  </si>
  <si>
    <t>1 + up return</t>
  </si>
  <si>
    <t>d =</t>
  </si>
  <si>
    <t>1/u = down return</t>
  </si>
  <si>
    <t>C0 =</t>
  </si>
  <si>
    <t>Value of call</t>
  </si>
  <si>
    <t>Helper col</t>
  </si>
  <si>
    <t>INPUT</t>
  </si>
  <si>
    <t>Result</t>
  </si>
  <si>
    <t>Definitions</t>
  </si>
  <si>
    <t>Volatility</t>
  </si>
  <si>
    <t>Collected from the "Binomial sheet"</t>
  </si>
  <si>
    <t>S0*u</t>
  </si>
  <si>
    <t>Su =</t>
  </si>
  <si>
    <t>Sd =</t>
  </si>
  <si>
    <t>S0*d</t>
  </si>
  <si>
    <t>Cu =</t>
  </si>
  <si>
    <t>max{0,Su-K}</t>
  </si>
  <si>
    <t>Cd =</t>
  </si>
  <si>
    <t>max{0,Sd-k)}</t>
  </si>
  <si>
    <t>r</t>
  </si>
  <si>
    <t>delta</t>
  </si>
  <si>
    <t>D</t>
  </si>
  <si>
    <t>Discrete option pricing</t>
  </si>
  <si>
    <t>Continous option pricing</t>
  </si>
  <si>
    <t>E(R_T)</t>
  </si>
  <si>
    <t>p</t>
  </si>
  <si>
    <t>R_S</t>
  </si>
  <si>
    <t>sigma</t>
  </si>
  <si>
    <t>P0</t>
  </si>
  <si>
    <t>3-month rf</t>
  </si>
  <si>
    <t>u^k d^(n-k)</t>
  </si>
  <si>
    <t>max()</t>
  </si>
  <si>
    <t>Num ups</t>
  </si>
  <si>
    <t>paths</t>
  </si>
  <si>
    <t>Num. of</t>
  </si>
  <si>
    <t>Exp.</t>
  </si>
  <si>
    <t>value</t>
  </si>
  <si>
    <t>Risk neutral</t>
  </si>
  <si>
    <t>prob.</t>
  </si>
  <si>
    <t>n=5</t>
  </si>
  <si>
    <t>n=50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</si>
</sst>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"/>
    <numFmt numFmtId="166" formatCode="0.000"/>
  </numFmts>
  <fonts count="6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color theme="0" tint="-0.34998626667073579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2" borderId="0" xfId="0" applyFill="1"/>
    <xf numFmtId="2" fontId="0" fillId="2" borderId="0" xfId="0" applyNumberFormat="1" applyFill="1"/>
    <xf numFmtId="1" fontId="0" fillId="2" borderId="0" xfId="0" applyNumberFormat="1" applyFill="1"/>
    <xf numFmtId="165" fontId="0" fillId="2" borderId="0" xfId="0" applyNumberFormat="1" applyFill="1"/>
    <xf numFmtId="164" fontId="0" fillId="2" borderId="0" xfId="0" applyNumberFormat="1" applyFill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1" xfId="0" applyFont="1" applyFill="1" applyBorder="1" applyAlignment="1">
      <alignment horizontal="right"/>
    </xf>
    <xf numFmtId="0" fontId="1" fillId="3" borderId="2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right"/>
    </xf>
    <xf numFmtId="0" fontId="2" fillId="4" borderId="4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7" xfId="0" applyFont="1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6" xfId="0" applyFill="1" applyBorder="1"/>
    <xf numFmtId="0" fontId="0" fillId="4" borderId="7" xfId="0" applyFill="1" applyBorder="1"/>
    <xf numFmtId="0" fontId="0" fillId="5" borderId="1" xfId="0" applyFill="1" applyBorder="1"/>
    <xf numFmtId="2" fontId="0" fillId="5" borderId="3" xfId="0" applyNumberFormat="1" applyFill="1" applyBorder="1"/>
    <xf numFmtId="0" fontId="0" fillId="4" borderId="1" xfId="0" applyFill="1" applyBorder="1"/>
    <xf numFmtId="0" fontId="0" fillId="4" borderId="3" xfId="0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166" fontId="3" fillId="2" borderId="9" xfId="0" applyNumberFormat="1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5" fillId="7" borderId="10" xfId="0" applyFont="1" applyFill="1" applyBorder="1"/>
    <xf numFmtId="0" fontId="5" fillId="7" borderId="11" xfId="0" applyFont="1" applyFill="1" applyBorder="1"/>
    <xf numFmtId="0" fontId="0" fillId="8" borderId="10" xfId="0" applyFill="1" applyBorder="1"/>
    <xf numFmtId="0" fontId="0" fillId="8" borderId="12" xfId="0" applyFill="1" applyBorder="1"/>
    <xf numFmtId="0" fontId="0" fillId="8" borderId="11" xfId="0" applyFill="1" applyBorder="1"/>
    <xf numFmtId="2" fontId="4" fillId="2" borderId="0" xfId="0" applyNumberFormat="1" applyFont="1" applyFill="1"/>
    <xf numFmtId="2" fontId="0" fillId="2" borderId="0" xfId="0" applyNumberFormat="1" applyFill="1" applyAlignment="1">
      <alignment horizontal="left"/>
    </xf>
    <xf numFmtId="1" fontId="4" fillId="2" borderId="0" xfId="0" applyNumberFormat="1" applyFont="1" applyFill="1"/>
    <xf numFmtId="164" fontId="0" fillId="4" borderId="3" xfId="0" applyNumberFormat="1" applyFill="1" applyBorder="1" applyAlignment="1">
      <alignment horizontal="right"/>
    </xf>
    <xf numFmtId="0" fontId="0" fillId="5" borderId="3" xfId="0" applyFill="1" applyBorder="1"/>
    <xf numFmtId="165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0" fillId="4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B3B0E-BA56-A649-97E2-F621DBC2C161}">
  <dimension ref="A1:E6"/>
  <sheetViews>
    <sheetView tabSelected="1" workbookViewId="0">
      <selection activeCell="A9" sqref="A9"/>
    </sheetView>
  </sheetViews>
  <sheetFormatPr baseColWidth="10" defaultRowHeight="16" x14ac:dyDescent="0.2"/>
  <sheetData>
    <row r="1" spans="1:5" x14ac:dyDescent="0.2">
      <c r="A1" t="s">
        <v>3</v>
      </c>
      <c r="B1" t="s">
        <v>7</v>
      </c>
      <c r="C1" t="s">
        <v>57</v>
      </c>
      <c r="D1" t="s">
        <v>65</v>
      </c>
      <c r="E1" t="s">
        <v>14</v>
      </c>
    </row>
    <row r="2" spans="1:5" x14ac:dyDescent="0.2">
      <c r="A2">
        <v>50</v>
      </c>
      <c r="B2">
        <v>45</v>
      </c>
      <c r="C2">
        <v>0.06</v>
      </c>
      <c r="D2">
        <v>0.447214</v>
      </c>
      <c r="E2">
        <v>0.25</v>
      </c>
    </row>
    <row r="3" spans="1:5" x14ac:dyDescent="0.2">
      <c r="A3" t="s">
        <v>19</v>
      </c>
      <c r="B3" t="s">
        <v>20</v>
      </c>
    </row>
    <row r="4" spans="1:5" x14ac:dyDescent="0.2">
      <c r="A4" s="43">
        <f>(LN(A2/B2)+(C2+D2^2/2)*E2)/(D2*SQRT(E2))</f>
        <v>0.65007160277775899</v>
      </c>
      <c r="B4" s="43">
        <f>A4-D2*SQRT(E2)</f>
        <v>0.42646460277775899</v>
      </c>
    </row>
    <row r="5" spans="1:5" x14ac:dyDescent="0.2">
      <c r="A5" t="s">
        <v>13</v>
      </c>
    </row>
    <row r="6" spans="1:5" x14ac:dyDescent="0.2">
      <c r="A6" s="44">
        <f>A2*_xlfn.NORM.DIST(A4,0,1,TRUE)-B2*EXP(-C2*E2)*_xlfn.NORM.DIST(B4,0,1,TRUE)</f>
        <v>7.6242632482975914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14BFF-A918-B44C-B103-BD8B9F348418}">
  <dimension ref="A3:N51"/>
  <sheetViews>
    <sheetView zoomScaleNormal="100" workbookViewId="0">
      <selection activeCell="G40" sqref="G40"/>
    </sheetView>
  </sheetViews>
  <sheetFormatPr baseColWidth="10" defaultRowHeight="16" x14ac:dyDescent="0.2"/>
  <cols>
    <col min="1" max="1" width="3.83203125" style="1" customWidth="1"/>
    <col min="2" max="3" width="6.6640625" style="1" customWidth="1"/>
    <col min="4" max="4" width="5.6640625" style="1" customWidth="1"/>
    <col min="5" max="5" width="8" style="1" customWidth="1"/>
    <col min="6" max="6" width="14.6640625" style="1" customWidth="1"/>
    <col min="7" max="8" width="17" style="1" customWidth="1"/>
    <col min="9" max="12" width="10.83203125" style="1"/>
    <col min="13" max="13" width="39.5" style="1" customWidth="1"/>
    <col min="14" max="14" width="9.1640625" style="1" customWidth="1"/>
    <col min="15" max="16384" width="10.83203125" style="1"/>
  </cols>
  <sheetData>
    <row r="3" spans="1:14" x14ac:dyDescent="0.2">
      <c r="B3" s="6" t="s">
        <v>61</v>
      </c>
      <c r="C3" s="7"/>
      <c r="D3" s="7"/>
      <c r="E3" s="7"/>
      <c r="F3" s="7"/>
      <c r="G3" s="7"/>
      <c r="H3" s="7"/>
      <c r="I3" s="8"/>
    </row>
    <row r="4" spans="1:14" x14ac:dyDescent="0.2">
      <c r="N4" s="33" t="s">
        <v>43</v>
      </c>
    </row>
    <row r="5" spans="1:14" x14ac:dyDescent="0.2">
      <c r="B5" s="7">
        <f>C5-1</f>
        <v>2</v>
      </c>
      <c r="C5" s="8">
        <f>L8</f>
        <v>3</v>
      </c>
      <c r="E5" s="9" t="s">
        <v>9</v>
      </c>
      <c r="F5" s="10" t="s">
        <v>8</v>
      </c>
      <c r="G5" s="10" t="s">
        <v>11</v>
      </c>
      <c r="H5" s="10" t="s">
        <v>12</v>
      </c>
      <c r="I5" s="11" t="s">
        <v>10</v>
      </c>
      <c r="K5" s="45" t="s">
        <v>44</v>
      </c>
      <c r="L5" s="46"/>
      <c r="N5" s="34" t="s">
        <v>6</v>
      </c>
    </row>
    <row r="6" spans="1:14" x14ac:dyDescent="0.2">
      <c r="N6" s="35"/>
    </row>
    <row r="7" spans="1:14" x14ac:dyDescent="0.2">
      <c r="A7" s="2"/>
      <c r="B7" s="38"/>
      <c r="C7" s="38">
        <f>$L$11*($L$9^N7)*($L$10^($L$8-N7))</f>
        <v>73.649793569668603</v>
      </c>
      <c r="D7" s="2"/>
      <c r="E7" s="2">
        <f>MAX(0,C7-$L$13)</f>
        <v>28.649793569668603</v>
      </c>
      <c r="F7" s="3">
        <f>COMBIN($L$8,N7)</f>
        <v>1</v>
      </c>
      <c r="G7" s="4">
        <f>($L$16^N7)*((1-$L$16)^($L$8-N7))</f>
        <v>0.11559345252406852</v>
      </c>
      <c r="H7" s="5">
        <f>F7*G7</f>
        <v>0.11559345252406852</v>
      </c>
      <c r="I7" s="2">
        <f>E7*H7</f>
        <v>3.3117285528198512</v>
      </c>
      <c r="K7" s="12" t="s">
        <v>14</v>
      </c>
      <c r="L7" s="13">
        <v>0.25</v>
      </c>
      <c r="N7" s="36">
        <f>L8</f>
        <v>3</v>
      </c>
    </row>
    <row r="8" spans="1:14" x14ac:dyDescent="0.2">
      <c r="A8" s="2"/>
      <c r="B8" s="38">
        <f>C7/$L$9</f>
        <v>64.729813747323874</v>
      </c>
      <c r="C8" s="38"/>
      <c r="D8" s="2"/>
      <c r="E8" s="2"/>
      <c r="F8" s="3"/>
      <c r="G8" s="4"/>
      <c r="H8" s="5"/>
      <c r="I8" s="2"/>
      <c r="K8" s="14" t="s">
        <v>2</v>
      </c>
      <c r="L8" s="15">
        <v>3</v>
      </c>
      <c r="N8" s="36"/>
    </row>
    <row r="9" spans="1:14" x14ac:dyDescent="0.2">
      <c r="A9" s="2"/>
      <c r="B9" s="38"/>
      <c r="C9" s="38">
        <f>$L$11*($L$9^N9)*($L$10^($L$8-N9))</f>
        <v>56.890163362097979</v>
      </c>
      <c r="D9" s="2"/>
      <c r="E9" s="2">
        <f>MAX(0,C9-$L$13)</f>
        <v>11.890163362097979</v>
      </c>
      <c r="F9" s="3">
        <f>COMBIN($L$8,N9)</f>
        <v>3</v>
      </c>
      <c r="G9" s="4">
        <f>($L$16^N9)*((1-$L$16)^($L$8-N9))</f>
        <v>0.12170167653171875</v>
      </c>
      <c r="H9" s="5">
        <f>F9*G9</f>
        <v>0.36510502959515623</v>
      </c>
      <c r="I9" s="2">
        <f>E9*H9</f>
        <v>4.3411584462100254</v>
      </c>
      <c r="K9" s="1" t="s">
        <v>0</v>
      </c>
      <c r="L9" s="2">
        <f>L19</f>
        <v>1.1378032672419593</v>
      </c>
      <c r="N9" s="37">
        <f>N7-1</f>
        <v>2</v>
      </c>
    </row>
    <row r="10" spans="1:14" x14ac:dyDescent="0.2">
      <c r="A10" s="2"/>
      <c r="K10" s="1" t="s">
        <v>1</v>
      </c>
      <c r="L10" s="2">
        <f>1/L9</f>
        <v>0.87888656043676594</v>
      </c>
    </row>
    <row r="11" spans="1:14" x14ac:dyDescent="0.2">
      <c r="A11" s="2"/>
      <c r="H11" s="5">
        <f>SUM(H7:H9)</f>
        <v>0.48069848211922472</v>
      </c>
      <c r="I11" s="5">
        <f>SUM(I7:I9)</f>
        <v>7.6528869990298762</v>
      </c>
      <c r="K11" s="16" t="s">
        <v>3</v>
      </c>
      <c r="L11" s="17">
        <v>50</v>
      </c>
    </row>
    <row r="12" spans="1:14" x14ac:dyDescent="0.2">
      <c r="A12" s="2"/>
      <c r="K12" s="18" t="s">
        <v>5</v>
      </c>
      <c r="L12" s="19">
        <v>0.06</v>
      </c>
    </row>
    <row r="13" spans="1:14" x14ac:dyDescent="0.2">
      <c r="A13" s="2"/>
      <c r="K13" s="20" t="s">
        <v>7</v>
      </c>
      <c r="L13" s="21">
        <v>45</v>
      </c>
    </row>
    <row r="14" spans="1:14" x14ac:dyDescent="0.2">
      <c r="A14" s="2"/>
    </row>
    <row r="15" spans="1:14" x14ac:dyDescent="0.2">
      <c r="A15" s="2"/>
      <c r="L15" s="5"/>
    </row>
    <row r="16" spans="1:14" x14ac:dyDescent="0.2">
      <c r="A16" s="2"/>
      <c r="K16" s="1" t="s">
        <v>4</v>
      </c>
      <c r="L16" s="5">
        <f>(EXP(L12*(L7/L8))-L10)/(L9-L10)</f>
        <v>0.48712947873823781</v>
      </c>
    </row>
    <row r="17" spans="1:12" x14ac:dyDescent="0.2">
      <c r="A17" s="2"/>
      <c r="F17" s="3"/>
    </row>
    <row r="18" spans="1:12" x14ac:dyDescent="0.2">
      <c r="A18" s="2"/>
      <c r="E18" s="1" t="s">
        <v>50</v>
      </c>
      <c r="F18" s="1" t="s">
        <v>49</v>
      </c>
      <c r="G18" s="39">
        <f>L19*L11</f>
        <v>56.890163362097965</v>
      </c>
      <c r="K18" s="24" t="s">
        <v>30</v>
      </c>
      <c r="L18" s="41">
        <f>SQRT(0.2)</f>
        <v>0.44721359549995793</v>
      </c>
    </row>
    <row r="19" spans="1:12" x14ac:dyDescent="0.2">
      <c r="A19" s="2"/>
      <c r="E19" s="1" t="s">
        <v>51</v>
      </c>
      <c r="F19" s="1" t="s">
        <v>52</v>
      </c>
      <c r="G19" s="39">
        <f>L10*L11</f>
        <v>43.944328021838295</v>
      </c>
      <c r="K19" s="1" t="s">
        <v>0</v>
      </c>
      <c r="L19" s="2">
        <f>EXP(L18*SQRT(L7/L8))</f>
        <v>1.1378032672419593</v>
      </c>
    </row>
    <row r="20" spans="1:12" x14ac:dyDescent="0.2">
      <c r="A20" s="2"/>
      <c r="E20" s="1" t="s">
        <v>53</v>
      </c>
      <c r="F20" s="1" t="s">
        <v>54</v>
      </c>
      <c r="G20" s="39">
        <f>MAX(0,G18-L13)</f>
        <v>11.890163362097965</v>
      </c>
    </row>
    <row r="21" spans="1:12" x14ac:dyDescent="0.2">
      <c r="A21" s="2"/>
      <c r="E21" s="1" t="s">
        <v>55</v>
      </c>
      <c r="F21" s="1" t="s">
        <v>56</v>
      </c>
      <c r="G21" s="39">
        <v>0</v>
      </c>
    </row>
    <row r="22" spans="1:12" x14ac:dyDescent="0.2">
      <c r="A22" s="2"/>
    </row>
    <row r="23" spans="1:12" x14ac:dyDescent="0.2">
      <c r="A23" s="2"/>
    </row>
    <row r="24" spans="1:12" x14ac:dyDescent="0.2">
      <c r="A24" s="2"/>
      <c r="K24" s="45" t="s">
        <v>45</v>
      </c>
      <c r="L24" s="46"/>
    </row>
    <row r="25" spans="1:12" x14ac:dyDescent="0.2">
      <c r="A25" s="2"/>
      <c r="B25" s="6" t="s">
        <v>60</v>
      </c>
      <c r="C25" s="7"/>
      <c r="D25" s="7"/>
      <c r="E25" s="7"/>
      <c r="F25" s="7"/>
      <c r="G25" s="7"/>
      <c r="H25" s="7"/>
      <c r="I25" s="8"/>
      <c r="K25" s="22" t="s">
        <v>13</v>
      </c>
      <c r="L25" s="23">
        <f>I11*EXP(-L12*L7)</f>
        <v>7.5389503551773824</v>
      </c>
    </row>
    <row r="26" spans="1:12" x14ac:dyDescent="0.2">
      <c r="A26" s="2"/>
    </row>
    <row r="27" spans="1:12" x14ac:dyDescent="0.2">
      <c r="A27" s="2"/>
      <c r="B27" s="6">
        <v>0</v>
      </c>
      <c r="C27" s="8">
        <v>1</v>
      </c>
      <c r="E27" s="9" t="s">
        <v>9</v>
      </c>
    </row>
    <row r="28" spans="1:12" x14ac:dyDescent="0.2">
      <c r="A28" s="2"/>
    </row>
    <row r="29" spans="1:12" x14ac:dyDescent="0.2">
      <c r="A29" s="2"/>
      <c r="B29" s="38"/>
      <c r="C29" s="40">
        <v>63</v>
      </c>
      <c r="D29" s="2"/>
      <c r="E29" s="2">
        <f>MAX(0,C29-$L$13)</f>
        <v>18</v>
      </c>
    </row>
    <row r="30" spans="1:12" x14ac:dyDescent="0.2">
      <c r="A30" s="2"/>
      <c r="B30" s="38">
        <f>L11</f>
        <v>50</v>
      </c>
      <c r="C30" s="38"/>
      <c r="D30" s="2"/>
      <c r="E30" s="2"/>
    </row>
    <row r="31" spans="1:12" x14ac:dyDescent="0.2">
      <c r="A31" s="2"/>
      <c r="B31" s="38"/>
      <c r="C31" s="40">
        <v>40</v>
      </c>
      <c r="D31" s="2"/>
      <c r="E31" s="2">
        <f>MAX(0,C31-$L$13)</f>
        <v>0</v>
      </c>
    </row>
    <row r="32" spans="1:12" x14ac:dyDescent="0.2">
      <c r="A32" s="2"/>
      <c r="K32" s="45" t="s">
        <v>46</v>
      </c>
      <c r="L32" s="46"/>
    </row>
    <row r="33" spans="1:12" x14ac:dyDescent="0.2">
      <c r="A33" s="2"/>
      <c r="K33" s="1" t="s">
        <v>28</v>
      </c>
      <c r="L33" s="1" t="s">
        <v>29</v>
      </c>
    </row>
    <row r="34" spans="1:12" x14ac:dyDescent="0.2">
      <c r="A34" s="2"/>
      <c r="B34" s="1" t="s">
        <v>57</v>
      </c>
      <c r="C34" s="1">
        <f>L12/4</f>
        <v>1.4999999999999999E-2</v>
      </c>
      <c r="K34" s="1" t="s">
        <v>26</v>
      </c>
      <c r="L34" s="1" t="s">
        <v>27</v>
      </c>
    </row>
    <row r="35" spans="1:12" x14ac:dyDescent="0.2">
      <c r="A35" s="2"/>
      <c r="B35" s="1" t="s">
        <v>58</v>
      </c>
      <c r="C35" s="2">
        <f>(E29-E31)/(C29-C31)</f>
        <v>0.78260869565217395</v>
      </c>
      <c r="K35" s="1" t="s">
        <v>37</v>
      </c>
      <c r="L35" s="1" t="s">
        <v>38</v>
      </c>
    </row>
    <row r="36" spans="1:12" x14ac:dyDescent="0.2">
      <c r="A36" s="2"/>
      <c r="B36" s="1" t="s">
        <v>59</v>
      </c>
      <c r="C36" s="1">
        <f>(C35*C29-E29)/(1+C34)</f>
        <v>30.841721996144791</v>
      </c>
      <c r="K36" s="1" t="s">
        <v>39</v>
      </c>
      <c r="L36" s="1" t="s">
        <v>40</v>
      </c>
    </row>
    <row r="37" spans="1:12" x14ac:dyDescent="0.2">
      <c r="A37" s="2"/>
      <c r="B37" s="22" t="s">
        <v>13</v>
      </c>
      <c r="C37" s="23">
        <f>C35*B30-C36</f>
        <v>8.2887127864639041</v>
      </c>
      <c r="K37" s="1" t="s">
        <v>34</v>
      </c>
      <c r="L37" s="1" t="s">
        <v>33</v>
      </c>
    </row>
    <row r="38" spans="1:12" x14ac:dyDescent="0.2">
      <c r="A38" s="2"/>
      <c r="K38" s="1" t="s">
        <v>35</v>
      </c>
      <c r="L38" s="1" t="s">
        <v>36</v>
      </c>
    </row>
    <row r="39" spans="1:12" x14ac:dyDescent="0.2">
      <c r="A39" s="2"/>
      <c r="B39" s="24" t="s">
        <v>63</v>
      </c>
      <c r="C39" s="25">
        <v>0.6</v>
      </c>
      <c r="K39" s="1" t="s">
        <v>32</v>
      </c>
      <c r="L39" s="1" t="s">
        <v>31</v>
      </c>
    </row>
    <row r="40" spans="1:12" x14ac:dyDescent="0.2">
      <c r="A40" s="2"/>
      <c r="B40" s="1" t="s">
        <v>62</v>
      </c>
      <c r="C40" s="1">
        <f>C39*C29+(1-C39)*C31</f>
        <v>53.8</v>
      </c>
      <c r="K40" s="1" t="s">
        <v>25</v>
      </c>
      <c r="L40" s="1" t="s">
        <v>24</v>
      </c>
    </row>
    <row r="41" spans="1:12" x14ac:dyDescent="0.2">
      <c r="A41" s="2"/>
      <c r="B41" s="1" t="s">
        <v>64</v>
      </c>
      <c r="C41" s="1">
        <f>C40/B30-1</f>
        <v>7.5999999999999845E-2</v>
      </c>
      <c r="K41" s="1" t="s">
        <v>41</v>
      </c>
      <c r="L41" s="1" t="s">
        <v>42</v>
      </c>
    </row>
    <row r="42" spans="1:12" x14ac:dyDescent="0.2">
      <c r="A42" s="2"/>
    </row>
    <row r="48" spans="1:12" x14ac:dyDescent="0.2">
      <c r="J48" s="5"/>
    </row>
    <row r="51" spans="1:9" x14ac:dyDescent="0.2">
      <c r="A51"/>
      <c r="I51"/>
    </row>
  </sheetData>
  <mergeCells count="3">
    <mergeCell ref="K5:L5"/>
    <mergeCell ref="K24:L24"/>
    <mergeCell ref="K32:L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A3B7E-3537-1144-9381-F4A475F3D663}">
  <dimension ref="B2:O76"/>
  <sheetViews>
    <sheetView workbookViewId="0">
      <selection activeCell="E1" sqref="E1"/>
    </sheetView>
  </sheetViews>
  <sheetFormatPr baseColWidth="10" defaultRowHeight="16" x14ac:dyDescent="0.2"/>
  <cols>
    <col min="14" max="15" width="11.5" customWidth="1"/>
  </cols>
  <sheetData>
    <row r="2" spans="2:15" x14ac:dyDescent="0.2">
      <c r="B2" s="50" t="s">
        <v>77</v>
      </c>
      <c r="D2" s="49" t="s">
        <v>14</v>
      </c>
      <c r="E2" s="49">
        <v>0.25</v>
      </c>
    </row>
    <row r="3" spans="2:15" x14ac:dyDescent="0.2">
      <c r="D3" s="49" t="s">
        <v>67</v>
      </c>
      <c r="E3" s="49">
        <v>1.4999999999999999E-2</v>
      </c>
      <c r="M3" t="s">
        <v>72</v>
      </c>
      <c r="N3" t="s">
        <v>75</v>
      </c>
      <c r="O3" t="s">
        <v>73</v>
      </c>
    </row>
    <row r="4" spans="2:15" x14ac:dyDescent="0.2">
      <c r="D4" s="49" t="s">
        <v>2</v>
      </c>
      <c r="E4" s="49">
        <v>5</v>
      </c>
      <c r="H4" t="s">
        <v>70</v>
      </c>
      <c r="I4" t="s">
        <v>3</v>
      </c>
      <c r="J4" t="s">
        <v>68</v>
      </c>
      <c r="K4" t="s">
        <v>7</v>
      </c>
      <c r="L4" t="s">
        <v>69</v>
      </c>
      <c r="M4" t="s">
        <v>71</v>
      </c>
      <c r="N4" t="s">
        <v>76</v>
      </c>
      <c r="O4" t="s">
        <v>74</v>
      </c>
    </row>
    <row r="5" spans="2:15" x14ac:dyDescent="0.2">
      <c r="D5" s="49" t="s">
        <v>65</v>
      </c>
      <c r="E5" s="49">
        <v>0.44719999999999999</v>
      </c>
      <c r="H5">
        <v>5</v>
      </c>
      <c r="I5">
        <f>$E$6</f>
        <v>50</v>
      </c>
      <c r="J5">
        <f>($E$9^H5)*($E$10^($E$4-H5))</f>
        <v>1.6486962099463471</v>
      </c>
      <c r="K5">
        <f>$E$7</f>
        <v>45</v>
      </c>
      <c r="L5">
        <f>MAX(0,I5*J5-K5)</f>
        <v>37.434810497317358</v>
      </c>
      <c r="M5">
        <f>COMBIN($E$4,H5)</f>
        <v>1</v>
      </c>
      <c r="N5">
        <f>M5*(($E$11^H5)*((1-$E$11)^($E$4-H5)))</f>
        <v>2.8253158210989098E-2</v>
      </c>
      <c r="O5">
        <f>N5*L5</f>
        <v>1.0576516235791027</v>
      </c>
    </row>
    <row r="6" spans="2:15" x14ac:dyDescent="0.2">
      <c r="D6" s="49" t="s">
        <v>3</v>
      </c>
      <c r="E6" s="49">
        <v>50</v>
      </c>
      <c r="H6">
        <v>4</v>
      </c>
      <c r="I6">
        <f t="shared" ref="I6:I10" si="0">$E$6</f>
        <v>50</v>
      </c>
      <c r="J6">
        <f>($E$9^H6)*($E$10^($E$4-H6))</f>
        <v>1.3498464967326882</v>
      </c>
      <c r="K6">
        <f t="shared" ref="K6:K10" si="1">$E$7</f>
        <v>45</v>
      </c>
      <c r="L6">
        <f t="shared" ref="L6:L10" si="2">MAX(0,I6*J6-K6)</f>
        <v>22.49232483663441</v>
      </c>
      <c r="M6">
        <f t="shared" ref="M6:M10" si="3">COMBIN($E$4,H6)</f>
        <v>5</v>
      </c>
      <c r="N6">
        <f t="shared" ref="N6:N10" si="4">M6*(($E$11^H6)*((1-$E$11)^($E$4-H6)))</f>
        <v>0.14702024424019566</v>
      </c>
      <c r="O6">
        <f t="shared" ref="O6:O10" si="5">N6*L6</f>
        <v>3.3068270910118098</v>
      </c>
    </row>
    <row r="7" spans="2:15" x14ac:dyDescent="0.2">
      <c r="D7" s="49" t="s">
        <v>7</v>
      </c>
      <c r="E7" s="49">
        <v>45</v>
      </c>
      <c r="H7">
        <v>3</v>
      </c>
      <c r="I7">
        <f t="shared" si="0"/>
        <v>50</v>
      </c>
      <c r="J7">
        <f>($E$9^H7)*($E$10^($E$4-H7))</f>
        <v>1.1051675583100944</v>
      </c>
      <c r="K7">
        <f t="shared" si="1"/>
        <v>45</v>
      </c>
      <c r="L7">
        <f t="shared" si="2"/>
        <v>10.258377915504717</v>
      </c>
      <c r="M7">
        <f t="shared" si="3"/>
        <v>10</v>
      </c>
      <c r="N7">
        <f t="shared" si="4"/>
        <v>0.3060182094338697</v>
      </c>
      <c r="O7">
        <f t="shared" si="5"/>
        <v>3.1392504413987061</v>
      </c>
    </row>
    <row r="8" spans="2:15" x14ac:dyDescent="0.2">
      <c r="H8">
        <v>2</v>
      </c>
      <c r="I8">
        <f t="shared" si="0"/>
        <v>50</v>
      </c>
      <c r="J8">
        <f>($E$9^H8)*($E$10^($E$4-H8))</f>
        <v>0.90484016878770368</v>
      </c>
      <c r="K8">
        <f t="shared" si="1"/>
        <v>45</v>
      </c>
      <c r="L8">
        <f t="shared" si="2"/>
        <v>0.24200843938518091</v>
      </c>
      <c r="M8">
        <f t="shared" si="3"/>
        <v>10</v>
      </c>
      <c r="N8">
        <f t="shared" si="4"/>
        <v>0.31848384210311476</v>
      </c>
      <c r="O8">
        <f t="shared" si="5"/>
        <v>7.7075777596771172E-2</v>
      </c>
    </row>
    <row r="9" spans="2:15" x14ac:dyDescent="0.2">
      <c r="D9" t="s">
        <v>0</v>
      </c>
      <c r="E9">
        <f>EXP(E5*SQRT(E2/E4))</f>
        <v>1.1051675583100944</v>
      </c>
      <c r="H9">
        <v>1</v>
      </c>
      <c r="I9">
        <f t="shared" si="0"/>
        <v>50</v>
      </c>
      <c r="J9">
        <f>($E$9^H9)*($E$10^($E$4-H9))</f>
        <v>0.74082497707739825</v>
      </c>
      <c r="K9">
        <f t="shared" si="1"/>
        <v>45</v>
      </c>
      <c r="L9">
        <f t="shared" si="2"/>
        <v>0</v>
      </c>
      <c r="M9">
        <f t="shared" si="3"/>
        <v>5</v>
      </c>
      <c r="N9">
        <f t="shared" si="4"/>
        <v>0.16572863077071426</v>
      </c>
      <c r="O9">
        <f t="shared" si="5"/>
        <v>0</v>
      </c>
    </row>
    <row r="10" spans="2:15" x14ac:dyDescent="0.2">
      <c r="D10" t="s">
        <v>1</v>
      </c>
      <c r="E10">
        <f>1/E9</f>
        <v>0.90484016878770357</v>
      </c>
      <c r="H10">
        <v>0</v>
      </c>
      <c r="I10">
        <f t="shared" si="0"/>
        <v>50</v>
      </c>
      <c r="J10">
        <f>($E$9^H10)*($E$10^($E$4-H10))</f>
        <v>0.60653987918886698</v>
      </c>
      <c r="K10">
        <f t="shared" si="1"/>
        <v>45</v>
      </c>
      <c r="L10">
        <f t="shared" si="2"/>
        <v>0</v>
      </c>
      <c r="M10">
        <f t="shared" si="3"/>
        <v>1</v>
      </c>
      <c r="N10">
        <f t="shared" si="4"/>
        <v>3.4495915241116858E-2</v>
      </c>
      <c r="O10">
        <f t="shared" si="5"/>
        <v>0</v>
      </c>
    </row>
    <row r="11" spans="2:15" x14ac:dyDescent="0.2">
      <c r="D11" t="s">
        <v>4</v>
      </c>
      <c r="E11">
        <f>(EXP(E3/E4)-E10)/(E9-E10)</f>
        <v>0.49001954225885608</v>
      </c>
      <c r="N11">
        <f>SUM(N5:N10)</f>
        <v>1.0000000000000002</v>
      </c>
    </row>
    <row r="13" spans="2:15" x14ac:dyDescent="0.2">
      <c r="D13" t="s">
        <v>13</v>
      </c>
      <c r="E13" s="44">
        <f>O13</f>
        <v>7.4679414518777554</v>
      </c>
      <c r="O13">
        <f>EXP(-E3)*SUM(O5:O10)</f>
        <v>7.4679414518777554</v>
      </c>
    </row>
    <row r="18" spans="2:15" x14ac:dyDescent="0.2">
      <c r="B18" s="50" t="s">
        <v>78</v>
      </c>
      <c r="D18" s="49" t="s">
        <v>14</v>
      </c>
      <c r="E18" s="49">
        <v>0.25</v>
      </c>
    </row>
    <row r="19" spans="2:15" x14ac:dyDescent="0.2">
      <c r="D19" s="49" t="s">
        <v>67</v>
      </c>
      <c r="E19" s="49">
        <v>1.4999999999999999E-2</v>
      </c>
      <c r="M19" t="s">
        <v>72</v>
      </c>
      <c r="N19" t="s">
        <v>75</v>
      </c>
      <c r="O19" t="s">
        <v>73</v>
      </c>
    </row>
    <row r="20" spans="2:15" x14ac:dyDescent="0.2">
      <c r="D20" s="49" t="s">
        <v>2</v>
      </c>
      <c r="E20" s="49">
        <v>50</v>
      </c>
      <c r="H20" t="s">
        <v>70</v>
      </c>
      <c r="I20" t="s">
        <v>3</v>
      </c>
      <c r="J20" t="s">
        <v>68</v>
      </c>
      <c r="K20" t="s">
        <v>7</v>
      </c>
      <c r="L20" t="s">
        <v>69</v>
      </c>
      <c r="M20" t="s">
        <v>71</v>
      </c>
      <c r="N20" t="s">
        <v>76</v>
      </c>
      <c r="O20" t="s">
        <v>74</v>
      </c>
    </row>
    <row r="21" spans="2:15" x14ac:dyDescent="0.2">
      <c r="D21" s="49" t="s">
        <v>65</v>
      </c>
      <c r="E21" s="49">
        <v>0.44719999999999999</v>
      </c>
    </row>
    <row r="22" spans="2:15" x14ac:dyDescent="0.2">
      <c r="D22" s="49" t="s">
        <v>3</v>
      </c>
      <c r="E22" s="49">
        <v>50</v>
      </c>
      <c r="H22">
        <v>50</v>
      </c>
      <c r="I22">
        <f>$E$6</f>
        <v>50</v>
      </c>
      <c r="J22">
        <f>($E$25^H22)*($E$26^($E$20-H22))</f>
        <v>4.8602543052818605</v>
      </c>
      <c r="K22">
        <f>$E$7</f>
        <v>45</v>
      </c>
      <c r="L22">
        <f>MAX(0,I22*J22-K22)</f>
        <v>198.01271526409303</v>
      </c>
      <c r="M22">
        <f>COMBIN($E$20,H22)</f>
        <v>1</v>
      </c>
      <c r="N22">
        <f>M22*(($E$27^H22)*((1-$E$27)^($E$20-H22)))</f>
        <v>6.468003591052578E-16</v>
      </c>
      <c r="O22">
        <f>N22*L22</f>
        <v>1.2807469534022253E-13</v>
      </c>
    </row>
    <row r="23" spans="2:15" x14ac:dyDescent="0.2">
      <c r="D23" s="49" t="s">
        <v>7</v>
      </c>
      <c r="E23" s="49">
        <v>45</v>
      </c>
      <c r="H23">
        <f>H22-1</f>
        <v>49</v>
      </c>
      <c r="I23">
        <f>$E$6</f>
        <v>50</v>
      </c>
      <c r="J23">
        <f>($E$25^H23)*($E$26^($E$20-H23))</f>
        <v>4.5623923870196474</v>
      </c>
      <c r="K23">
        <f>$E$7</f>
        <v>45</v>
      </c>
      <c r="L23">
        <f>MAX(0,I23*J23-K23)</f>
        <v>183.11961935098236</v>
      </c>
      <c r="M23">
        <f>COMBIN($E$20,H23)</f>
        <v>50</v>
      </c>
      <c r="N23">
        <f>M23*(($E$27^H23)*((1-$E$27)^($E$20-H23)))</f>
        <v>3.2751567759762276E-14</v>
      </c>
      <c r="O23">
        <f>N23*L23</f>
        <v>5.9974546213155739E-12</v>
      </c>
    </row>
    <row r="24" spans="2:15" x14ac:dyDescent="0.2">
      <c r="H24">
        <f t="shared" ref="H24:H72" si="6">H23-1</f>
        <v>48</v>
      </c>
      <c r="I24">
        <f t="shared" ref="I24:I72" si="7">$E$6</f>
        <v>50</v>
      </c>
      <c r="J24">
        <f t="shared" ref="J24:J72" si="8">($E$25^H24)*($E$26^($E$20-H24))</f>
        <v>4.2827850119928428</v>
      </c>
      <c r="K24">
        <f t="shared" ref="K24:K72" si="9">$E$7</f>
        <v>45</v>
      </c>
      <c r="L24">
        <f t="shared" ref="L24:L72" si="10">MAX(0,I24*J24-K24)</f>
        <v>169.13925059964214</v>
      </c>
      <c r="M24">
        <f t="shared" ref="M24:M72" si="11">COMBIN($E$20,H24)</f>
        <v>1225</v>
      </c>
      <c r="N24">
        <f t="shared" ref="N24:N72" si="12">M24*(($E$27^H24)*((1-$E$27)^($E$20-H24)))</f>
        <v>8.1262469331497672E-13</v>
      </c>
      <c r="O24">
        <f t="shared" ref="O24:O72" si="13">N24*L24</f>
        <v>1.3744673164605919E-10</v>
      </c>
    </row>
    <row r="25" spans="2:15" x14ac:dyDescent="0.2">
      <c r="D25" t="s">
        <v>0</v>
      </c>
      <c r="E25">
        <f>EXP(E21*SQRT(E18/E20))</f>
        <v>1.0321270967632485</v>
      </c>
      <c r="H25">
        <f t="shared" si="6"/>
        <v>47</v>
      </c>
      <c r="I25">
        <f t="shared" si="7"/>
        <v>50</v>
      </c>
      <c r="J25">
        <f t="shared" si="8"/>
        <v>4.0203134458876493</v>
      </c>
      <c r="K25">
        <f t="shared" si="9"/>
        <v>45</v>
      </c>
      <c r="L25">
        <f t="shared" si="10"/>
        <v>156.01567229438245</v>
      </c>
      <c r="M25">
        <f t="shared" si="11"/>
        <v>19600</v>
      </c>
      <c r="N25">
        <f t="shared" si="12"/>
        <v>1.3167454758091288E-11</v>
      </c>
      <c r="O25">
        <f t="shared" si="13"/>
        <v>2.0543293064894772E-9</v>
      </c>
    </row>
    <row r="26" spans="2:15" x14ac:dyDescent="0.2">
      <c r="D26" t="s">
        <v>1</v>
      </c>
      <c r="E26">
        <f>1/E25</f>
        <v>0.9688729257627291</v>
      </c>
      <c r="H26">
        <f t="shared" si="6"/>
        <v>46</v>
      </c>
      <c r="I26">
        <f t="shared" si="7"/>
        <v>50</v>
      </c>
      <c r="J26">
        <f t="shared" si="8"/>
        <v>3.7739275163065384</v>
      </c>
      <c r="K26">
        <f t="shared" si="9"/>
        <v>45</v>
      </c>
      <c r="L26">
        <f t="shared" si="10"/>
        <v>143.69637581532692</v>
      </c>
      <c r="M26">
        <f t="shared" si="11"/>
        <v>230300</v>
      </c>
      <c r="N26">
        <f t="shared" si="12"/>
        <v>1.5668648518146048E-10</v>
      </c>
      <c r="O26">
        <f t="shared" si="13"/>
        <v>2.2515280059817798E-8</v>
      </c>
    </row>
    <row r="27" spans="2:15" x14ac:dyDescent="0.2">
      <c r="D27" t="s">
        <v>4</v>
      </c>
      <c r="E27">
        <f>(EXP(E19/E20)-E26)/(E25-E26)</f>
        <v>0.4968386865984401</v>
      </c>
      <c r="H27">
        <f t="shared" si="6"/>
        <v>45</v>
      </c>
      <c r="I27">
        <f t="shared" si="7"/>
        <v>50</v>
      </c>
      <c r="J27">
        <f t="shared" si="8"/>
        <v>3.5426414109338231</v>
      </c>
      <c r="K27">
        <f t="shared" si="9"/>
        <v>45</v>
      </c>
      <c r="L27">
        <f t="shared" si="10"/>
        <v>132.13207054669115</v>
      </c>
      <c r="M27">
        <f t="shared" si="11"/>
        <v>2118760</v>
      </c>
      <c r="N27">
        <f t="shared" si="12"/>
        <v>1.459859979074166E-9</v>
      </c>
      <c r="O27">
        <f t="shared" si="13"/>
        <v>1.9289432174331877E-7</v>
      </c>
    </row>
    <row r="28" spans="2:15" x14ac:dyDescent="0.2">
      <c r="H28">
        <f t="shared" si="6"/>
        <v>44</v>
      </c>
      <c r="I28">
        <f t="shared" si="7"/>
        <v>50</v>
      </c>
      <c r="J28">
        <f t="shared" si="8"/>
        <v>3.3255297332117033</v>
      </c>
      <c r="K28">
        <f t="shared" si="9"/>
        <v>45</v>
      </c>
      <c r="L28">
        <f t="shared" si="10"/>
        <v>121.27648666058516</v>
      </c>
      <c r="M28">
        <f t="shared" si="11"/>
        <v>15890700</v>
      </c>
      <c r="N28">
        <f t="shared" si="12"/>
        <v>1.1088283042364196E-8</v>
      </c>
      <c r="O28">
        <f t="shared" si="13"/>
        <v>1.3447480104760741E-6</v>
      </c>
    </row>
    <row r="29" spans="2:15" x14ac:dyDescent="0.2">
      <c r="D29" t="s">
        <v>13</v>
      </c>
      <c r="E29" s="44">
        <f>O76</f>
        <v>7.637688305501996</v>
      </c>
      <c r="H29">
        <f t="shared" si="6"/>
        <v>43</v>
      </c>
      <c r="I29">
        <f t="shared" si="7"/>
        <v>50</v>
      </c>
      <c r="J29">
        <f t="shared" si="8"/>
        <v>3.1217237997452201</v>
      </c>
      <c r="K29">
        <f t="shared" si="9"/>
        <v>45</v>
      </c>
      <c r="L29">
        <f t="shared" si="10"/>
        <v>111.08618998726101</v>
      </c>
      <c r="M29">
        <f t="shared" si="11"/>
        <v>99884400</v>
      </c>
      <c r="N29">
        <f t="shared" si="12"/>
        <v>7.0584733095194569E-8</v>
      </c>
      <c r="O29">
        <f t="shared" si="13"/>
        <v>7.8409890708128945E-6</v>
      </c>
    </row>
    <row r="30" spans="2:15" x14ac:dyDescent="0.2">
      <c r="H30">
        <f t="shared" si="6"/>
        <v>42</v>
      </c>
      <c r="I30">
        <f t="shared" si="7"/>
        <v>50</v>
      </c>
      <c r="J30">
        <f t="shared" si="8"/>
        <v>2.9304081646216811</v>
      </c>
      <c r="K30">
        <f t="shared" si="9"/>
        <v>45</v>
      </c>
      <c r="L30">
        <f t="shared" si="10"/>
        <v>101.52040823108405</v>
      </c>
      <c r="M30">
        <f t="shared" si="11"/>
        <v>536878649.99999988</v>
      </c>
      <c r="N30">
        <f t="shared" si="12"/>
        <v>3.8422098626656409E-7</v>
      </c>
      <c r="O30">
        <f t="shared" si="13"/>
        <v>3.9006271376731321E-5</v>
      </c>
    </row>
    <row r="31" spans="2:15" x14ac:dyDescent="0.2">
      <c r="H31">
        <f t="shared" si="6"/>
        <v>41</v>
      </c>
      <c r="I31">
        <f t="shared" si="7"/>
        <v>50</v>
      </c>
      <c r="J31">
        <f t="shared" si="8"/>
        <v>2.7508173567380498</v>
      </c>
      <c r="K31">
        <f t="shared" si="9"/>
        <v>45</v>
      </c>
      <c r="L31">
        <f t="shared" si="10"/>
        <v>92.540867836902493</v>
      </c>
      <c r="M31">
        <f t="shared" si="11"/>
        <v>2505433700</v>
      </c>
      <c r="N31">
        <f t="shared" si="12"/>
        <v>1.8158488715514057E-6</v>
      </c>
      <c r="O31">
        <f t="shared" si="13"/>
        <v>1.6804023043402716E-4</v>
      </c>
    </row>
    <row r="32" spans="2:15" x14ac:dyDescent="0.2">
      <c r="H32">
        <f t="shared" si="6"/>
        <v>40</v>
      </c>
      <c r="I32">
        <f t="shared" si="7"/>
        <v>50</v>
      </c>
      <c r="J32">
        <f t="shared" si="8"/>
        <v>2.5822328170820601</v>
      </c>
      <c r="K32">
        <f t="shared" si="9"/>
        <v>45</v>
      </c>
      <c r="L32">
        <f t="shared" si="10"/>
        <v>84.111640854103001</v>
      </c>
      <c r="M32">
        <f t="shared" si="11"/>
        <v>10272278170</v>
      </c>
      <c r="N32">
        <f t="shared" si="12"/>
        <v>7.5397230609312189E-6</v>
      </c>
      <c r="O32">
        <f t="shared" si="13"/>
        <v>6.3417847824044486E-4</v>
      </c>
    </row>
    <row r="33" spans="8:15" x14ac:dyDescent="0.2">
      <c r="H33">
        <f t="shared" si="6"/>
        <v>39</v>
      </c>
      <c r="I33">
        <f t="shared" si="7"/>
        <v>50</v>
      </c>
      <c r="J33">
        <f t="shared" si="8"/>
        <v>2.4239800237128262</v>
      </c>
      <c r="K33">
        <f t="shared" si="9"/>
        <v>45</v>
      </c>
      <c r="L33">
        <f t="shared" si="10"/>
        <v>76.199001185641308</v>
      </c>
      <c r="M33">
        <f t="shared" si="11"/>
        <v>37353738799.999985</v>
      </c>
      <c r="N33">
        <f t="shared" si="12"/>
        <v>2.7766077879287493E-5</v>
      </c>
      <c r="O33">
        <f t="shared" si="13"/>
        <v>2.1157474012444364E-3</v>
      </c>
    </row>
    <row r="34" spans="8:15" x14ac:dyDescent="0.2">
      <c r="H34">
        <f t="shared" si="6"/>
        <v>38</v>
      </c>
      <c r="I34">
        <f t="shared" si="7"/>
        <v>50</v>
      </c>
      <c r="J34">
        <f t="shared" si="8"/>
        <v>2.2754257929377526</v>
      </c>
      <c r="K34">
        <f t="shared" si="9"/>
        <v>45</v>
      </c>
      <c r="L34">
        <f t="shared" si="10"/>
        <v>68.771289646887624</v>
      </c>
      <c r="M34">
        <f t="shared" si="11"/>
        <v>121399651100</v>
      </c>
      <c r="N34">
        <f t="shared" si="12"/>
        <v>9.1388118355994249E-5</v>
      </c>
      <c r="O34">
        <f t="shared" si="13"/>
        <v>6.2848787577441277E-3</v>
      </c>
    </row>
    <row r="35" spans="8:15" x14ac:dyDescent="0.2">
      <c r="H35">
        <f t="shared" si="6"/>
        <v>37</v>
      </c>
      <c r="I35">
        <f t="shared" si="7"/>
        <v>50</v>
      </c>
      <c r="J35">
        <f t="shared" si="8"/>
        <v>2.1359757458874982</v>
      </c>
      <c r="K35">
        <f t="shared" si="9"/>
        <v>45</v>
      </c>
      <c r="L35">
        <f t="shared" si="10"/>
        <v>61.798787294374904</v>
      </c>
      <c r="M35">
        <f t="shared" si="11"/>
        <v>354860518599.99988</v>
      </c>
      <c r="N35">
        <f t="shared" si="12"/>
        <v>2.7053397693207012E-4</v>
      </c>
      <c r="O35">
        <f t="shared" si="13"/>
        <v>1.6718671696326327E-2</v>
      </c>
    </row>
    <row r="36" spans="8:15" x14ac:dyDescent="0.2">
      <c r="H36">
        <f t="shared" si="6"/>
        <v>36</v>
      </c>
      <c r="I36">
        <f t="shared" si="7"/>
        <v>50</v>
      </c>
      <c r="J36">
        <f t="shared" si="8"/>
        <v>2.0050719303525386</v>
      </c>
      <c r="K36">
        <f t="shared" si="9"/>
        <v>45</v>
      </c>
      <c r="L36">
        <f t="shared" si="10"/>
        <v>55.253596517626931</v>
      </c>
      <c r="M36">
        <f t="shared" si="11"/>
        <v>937845656300</v>
      </c>
      <c r="N36">
        <f t="shared" si="12"/>
        <v>7.240813177553998E-4</v>
      </c>
      <c r="O36">
        <f t="shared" si="13"/>
        <v>4.0008096977208481E-2</v>
      </c>
    </row>
    <row r="37" spans="8:15" x14ac:dyDescent="0.2">
      <c r="H37">
        <f t="shared" si="6"/>
        <v>35</v>
      </c>
      <c r="I37">
        <f t="shared" si="7"/>
        <v>50</v>
      </c>
      <c r="J37">
        <f t="shared" si="8"/>
        <v>1.8821905883660743</v>
      </c>
      <c r="K37">
        <f t="shared" si="9"/>
        <v>45</v>
      </c>
      <c r="L37">
        <f t="shared" si="10"/>
        <v>49.109529418303723</v>
      </c>
      <c r="M37">
        <f t="shared" si="11"/>
        <v>2250829575120.0005</v>
      </c>
      <c r="N37">
        <f t="shared" si="12"/>
        <v>1.7599098460501397E-3</v>
      </c>
      <c r="O37">
        <f t="shared" si="13"/>
        <v>8.6428344358161713E-2</v>
      </c>
    </row>
    <row r="38" spans="8:15" x14ac:dyDescent="0.2">
      <c r="H38">
        <f t="shared" si="6"/>
        <v>34</v>
      </c>
      <c r="I38">
        <f t="shared" si="7"/>
        <v>50</v>
      </c>
      <c r="J38">
        <f t="shared" si="8"/>
        <v>1.7668400606011923</v>
      </c>
      <c r="K38">
        <f t="shared" si="9"/>
        <v>45</v>
      </c>
      <c r="L38">
        <f t="shared" si="10"/>
        <v>43.342003030059615</v>
      </c>
      <c r="M38">
        <f t="shared" si="11"/>
        <v>4923689695575</v>
      </c>
      <c r="N38">
        <f t="shared" si="12"/>
        <v>3.8987942757178012E-3</v>
      </c>
      <c r="O38">
        <f t="shared" si="13"/>
        <v>0.16898155331174003</v>
      </c>
    </row>
    <row r="39" spans="8:15" x14ac:dyDescent="0.2">
      <c r="H39">
        <f t="shared" si="6"/>
        <v>33</v>
      </c>
      <c r="I39">
        <f t="shared" si="7"/>
        <v>50</v>
      </c>
      <c r="J39">
        <f t="shared" si="8"/>
        <v>1.6585588191975749</v>
      </c>
      <c r="K39">
        <f t="shared" si="9"/>
        <v>45</v>
      </c>
      <c r="L39">
        <f t="shared" si="10"/>
        <v>37.92794095987874</v>
      </c>
      <c r="M39">
        <f t="shared" si="11"/>
        <v>9847379391150</v>
      </c>
      <c r="N39">
        <f t="shared" si="12"/>
        <v>7.8968184296734339E-3</v>
      </c>
      <c r="O39">
        <f t="shared" si="13"/>
        <v>0.29951006317153633</v>
      </c>
    </row>
    <row r="40" spans="8:15" x14ac:dyDescent="0.2">
      <c r="H40">
        <f t="shared" si="6"/>
        <v>32</v>
      </c>
      <c r="I40">
        <f t="shared" si="7"/>
        <v>50</v>
      </c>
      <c r="J40">
        <f t="shared" si="8"/>
        <v>1.5569136211469248</v>
      </c>
      <c r="K40">
        <f t="shared" si="9"/>
        <v>45</v>
      </c>
      <c r="L40">
        <f t="shared" si="10"/>
        <v>32.845681057346241</v>
      </c>
      <c r="M40">
        <f t="shared" si="11"/>
        <v>18053528883775.008</v>
      </c>
      <c r="N40">
        <f t="shared" si="12"/>
        <v>1.466173697801396E-2</v>
      </c>
      <c r="O40">
        <f t="shared" si="13"/>
        <v>0.48157473652654603</v>
      </c>
    </row>
    <row r="41" spans="8:15" x14ac:dyDescent="0.2">
      <c r="H41">
        <f t="shared" si="6"/>
        <v>31</v>
      </c>
      <c r="I41">
        <f t="shared" si="7"/>
        <v>50</v>
      </c>
      <c r="J41">
        <f t="shared" si="8"/>
        <v>1.4614977748486317</v>
      </c>
      <c r="K41">
        <f t="shared" si="9"/>
        <v>45</v>
      </c>
      <c r="L41">
        <f t="shared" si="10"/>
        <v>28.074888742431583</v>
      </c>
      <c r="M41">
        <f t="shared" si="11"/>
        <v>30405943383199.988</v>
      </c>
      <c r="N41">
        <f t="shared" si="12"/>
        <v>2.5007693545853315E-2</v>
      </c>
      <c r="O41">
        <f t="shared" si="13"/>
        <v>0.70208821400465615</v>
      </c>
    </row>
    <row r="42" spans="8:15" x14ac:dyDescent="0.2">
      <c r="H42">
        <f t="shared" si="6"/>
        <v>30</v>
      </c>
      <c r="I42">
        <f t="shared" si="7"/>
        <v>50</v>
      </c>
      <c r="J42">
        <f t="shared" si="8"/>
        <v>1.3719295129000171</v>
      </c>
      <c r="K42">
        <f t="shared" si="9"/>
        <v>45</v>
      </c>
      <c r="L42">
        <f t="shared" si="10"/>
        <v>23.596475645000851</v>
      </c>
      <c r="M42">
        <f t="shared" si="11"/>
        <v>47129212243960</v>
      </c>
      <c r="N42">
        <f t="shared" si="12"/>
        <v>3.9255198149978181E-2</v>
      </c>
      <c r="O42">
        <f t="shared" si="13"/>
        <v>0.92628432708564257</v>
      </c>
    </row>
    <row r="43" spans="8:15" x14ac:dyDescent="0.2">
      <c r="H43">
        <f t="shared" si="6"/>
        <v>29</v>
      </c>
      <c r="I43">
        <f t="shared" si="7"/>
        <v>50</v>
      </c>
      <c r="J43">
        <f t="shared" si="8"/>
        <v>1.2878504646105378</v>
      </c>
      <c r="K43">
        <f t="shared" si="9"/>
        <v>45</v>
      </c>
      <c r="L43">
        <f t="shared" si="10"/>
        <v>19.392523230526891</v>
      </c>
      <c r="M43">
        <f t="shared" si="11"/>
        <v>67327446062800</v>
      </c>
      <c r="N43">
        <f t="shared" si="12"/>
        <v>5.6792497938198752E-2</v>
      </c>
      <c r="O43">
        <f t="shared" si="13"/>
        <v>1.1013498355861699</v>
      </c>
    </row>
    <row r="44" spans="8:15" x14ac:dyDescent="0.2">
      <c r="H44">
        <f t="shared" si="6"/>
        <v>28</v>
      </c>
      <c r="I44">
        <f t="shared" si="7"/>
        <v>50</v>
      </c>
      <c r="J44">
        <f t="shared" si="8"/>
        <v>1.2089242221283492</v>
      </c>
      <c r="K44">
        <f t="shared" si="9"/>
        <v>45</v>
      </c>
      <c r="L44">
        <f t="shared" si="10"/>
        <v>15.446211106417458</v>
      </c>
      <c r="M44">
        <f t="shared" si="11"/>
        <v>88749815264599.969</v>
      </c>
      <c r="N44">
        <f t="shared" si="12"/>
        <v>7.5815521225158347E-2</v>
      </c>
      <c r="O44">
        <f t="shared" si="13"/>
        <v>1.1710625459868693</v>
      </c>
    </row>
    <row r="45" spans="8:15" x14ac:dyDescent="0.2">
      <c r="H45">
        <f t="shared" si="6"/>
        <v>27</v>
      </c>
      <c r="I45">
        <f t="shared" si="7"/>
        <v>50</v>
      </c>
      <c r="J45">
        <f t="shared" si="8"/>
        <v>1.134834994442161</v>
      </c>
      <c r="K45">
        <f t="shared" si="9"/>
        <v>45</v>
      </c>
      <c r="L45">
        <f t="shared" si="10"/>
        <v>11.741749722108047</v>
      </c>
      <c r="M45">
        <f t="shared" si="11"/>
        <v>108043253365600.03</v>
      </c>
      <c r="N45">
        <f t="shared" si="12"/>
        <v>9.3471703445755672E-2</v>
      </c>
      <c r="O45">
        <f t="shared" si="13"/>
        <v>1.0975213479591674</v>
      </c>
    </row>
    <row r="46" spans="8:15" x14ac:dyDescent="0.2">
      <c r="H46">
        <f t="shared" si="6"/>
        <v>26</v>
      </c>
      <c r="I46">
        <f t="shared" si="7"/>
        <v>50</v>
      </c>
      <c r="J46">
        <f t="shared" si="8"/>
        <v>1.0652863438729341</v>
      </c>
      <c r="K46">
        <f t="shared" si="9"/>
        <v>45</v>
      </c>
      <c r="L46">
        <f t="shared" si="10"/>
        <v>8.2643171936467041</v>
      </c>
      <c r="M46">
        <f t="shared" si="11"/>
        <v>121548660036300.05</v>
      </c>
      <c r="N46">
        <f t="shared" si="12"/>
        <v>0.10649384726428751</v>
      </c>
      <c r="O46">
        <f t="shared" si="13"/>
        <v>0.88009893296383734</v>
      </c>
    </row>
    <row r="47" spans="8:15" x14ac:dyDescent="0.2">
      <c r="H47">
        <f t="shared" si="6"/>
        <v>25</v>
      </c>
      <c r="I47">
        <f t="shared" si="7"/>
        <v>50</v>
      </c>
      <c r="J47">
        <f t="shared" si="8"/>
        <v>1.0000000000000016</v>
      </c>
      <c r="K47">
        <f t="shared" si="9"/>
        <v>45</v>
      </c>
      <c r="L47">
        <f t="shared" si="10"/>
        <v>5.0000000000000782</v>
      </c>
      <c r="M47">
        <f t="shared" si="11"/>
        <v>126410606437751.98</v>
      </c>
      <c r="N47">
        <f t="shared" si="12"/>
        <v>0.11216301975709782</v>
      </c>
      <c r="O47">
        <f t="shared" si="13"/>
        <v>0.56081509878549785</v>
      </c>
    </row>
    <row r="48" spans="8:15" x14ac:dyDescent="0.2">
      <c r="H48">
        <f t="shared" si="6"/>
        <v>24</v>
      </c>
      <c r="I48">
        <f t="shared" si="7"/>
        <v>50</v>
      </c>
      <c r="J48">
        <f t="shared" si="8"/>
        <v>0.93871474627603235</v>
      </c>
      <c r="K48">
        <f t="shared" si="9"/>
        <v>45</v>
      </c>
      <c r="L48">
        <f t="shared" si="10"/>
        <v>1.9357373138016172</v>
      </c>
      <c r="M48">
        <f t="shared" si="11"/>
        <v>121548660036300.05</v>
      </c>
      <c r="N48">
        <f t="shared" si="12"/>
        <v>0.1092215136699347</v>
      </c>
      <c r="O48">
        <f t="shared" si="13"/>
        <v>0.21142415948078599</v>
      </c>
    </row>
    <row r="49" spans="8:15" x14ac:dyDescent="0.2">
      <c r="H49">
        <f t="shared" si="6"/>
        <v>23</v>
      </c>
      <c r="I49">
        <f t="shared" si="7"/>
        <v>50</v>
      </c>
      <c r="J49">
        <f t="shared" si="8"/>
        <v>0.88118537487607407</v>
      </c>
      <c r="K49">
        <f t="shared" si="9"/>
        <v>45</v>
      </c>
      <c r="L49">
        <f t="shared" si="10"/>
        <v>0</v>
      </c>
      <c r="M49">
        <f t="shared" si="11"/>
        <v>108043253365600.03</v>
      </c>
      <c r="N49">
        <f t="shared" si="12"/>
        <v>9.8321275880636744E-2</v>
      </c>
      <c r="O49">
        <f t="shared" si="13"/>
        <v>0</v>
      </c>
    </row>
    <row r="50" spans="8:15" x14ac:dyDescent="0.2">
      <c r="H50">
        <f t="shared" si="6"/>
        <v>22</v>
      </c>
      <c r="I50">
        <f t="shared" si="7"/>
        <v>50</v>
      </c>
      <c r="J50">
        <f t="shared" si="8"/>
        <v>0.82718170559894311</v>
      </c>
      <c r="K50">
        <f t="shared" si="9"/>
        <v>45</v>
      </c>
      <c r="L50">
        <f t="shared" si="10"/>
        <v>0</v>
      </c>
      <c r="M50">
        <f t="shared" si="11"/>
        <v>88749815264599.969</v>
      </c>
      <c r="N50">
        <f t="shared" si="12"/>
        <v>8.1791683509761112E-2</v>
      </c>
      <c r="O50">
        <f t="shared" si="13"/>
        <v>0</v>
      </c>
    </row>
    <row r="51" spans="8:15" x14ac:dyDescent="0.2">
      <c r="H51">
        <f t="shared" si="6"/>
        <v>21</v>
      </c>
      <c r="I51">
        <f t="shared" si="7"/>
        <v>50</v>
      </c>
      <c r="J51">
        <f t="shared" si="8"/>
        <v>0.77648766489548615</v>
      </c>
      <c r="K51">
        <f t="shared" si="9"/>
        <v>45</v>
      </c>
      <c r="L51">
        <f t="shared" si="10"/>
        <v>0</v>
      </c>
      <c r="M51">
        <f t="shared" si="11"/>
        <v>67327446062800</v>
      </c>
      <c r="N51">
        <f t="shared" si="12"/>
        <v>6.2838479412970272E-2</v>
      </c>
      <c r="O51">
        <f t="shared" si="13"/>
        <v>0</v>
      </c>
    </row>
    <row r="52" spans="8:15" x14ac:dyDescent="0.2">
      <c r="H52">
        <f t="shared" si="6"/>
        <v>20</v>
      </c>
      <c r="I52">
        <f t="shared" si="7"/>
        <v>50</v>
      </c>
      <c r="J52">
        <f t="shared" si="8"/>
        <v>0.72890042133883381</v>
      </c>
      <c r="K52">
        <f t="shared" si="9"/>
        <v>45</v>
      </c>
      <c r="L52">
        <f t="shared" si="10"/>
        <v>0</v>
      </c>
      <c r="M52">
        <f t="shared" si="11"/>
        <v>47129212243960</v>
      </c>
      <c r="N52">
        <f t="shared" si="12"/>
        <v>4.4546700731054538E-2</v>
      </c>
      <c r="O52">
        <f t="shared" si="13"/>
        <v>0</v>
      </c>
    </row>
    <row r="53" spans="8:15" x14ac:dyDescent="0.2">
      <c r="H53">
        <f t="shared" si="6"/>
        <v>19</v>
      </c>
      <c r="I53">
        <f t="shared" si="7"/>
        <v>50</v>
      </c>
      <c r="J53">
        <f t="shared" si="8"/>
        <v>0.68422957407757523</v>
      </c>
      <c r="K53">
        <f t="shared" si="9"/>
        <v>45</v>
      </c>
      <c r="L53">
        <f t="shared" si="10"/>
        <v>0</v>
      </c>
      <c r="M53">
        <f t="shared" si="11"/>
        <v>30405943383199.988</v>
      </c>
      <c r="N53">
        <f t="shared" si="12"/>
        <v>2.9105541473469953E-2</v>
      </c>
      <c r="O53">
        <f t="shared" si="13"/>
        <v>0</v>
      </c>
    </row>
    <row r="54" spans="8:15" x14ac:dyDescent="0.2">
      <c r="H54">
        <f t="shared" si="6"/>
        <v>18</v>
      </c>
      <c r="I54">
        <f t="shared" si="7"/>
        <v>50</v>
      </c>
      <c r="J54">
        <f t="shared" si="8"/>
        <v>0.64229639102478764</v>
      </c>
      <c r="K54">
        <f t="shared" si="9"/>
        <v>45</v>
      </c>
      <c r="L54">
        <f t="shared" si="10"/>
        <v>0</v>
      </c>
      <c r="M54">
        <f t="shared" si="11"/>
        <v>18053528883775.008</v>
      </c>
      <c r="N54">
        <f t="shared" si="12"/>
        <v>1.75013335899738E-2</v>
      </c>
      <c r="O54">
        <f t="shared" si="13"/>
        <v>0</v>
      </c>
    </row>
    <row r="55" spans="8:15" x14ac:dyDescent="0.2">
      <c r="H55">
        <f t="shared" si="6"/>
        <v>17</v>
      </c>
      <c r="I55">
        <f t="shared" si="7"/>
        <v>50</v>
      </c>
      <c r="J55">
        <f t="shared" si="8"/>
        <v>0.60293309373484372</v>
      </c>
      <c r="K55">
        <f t="shared" si="9"/>
        <v>45</v>
      </c>
      <c r="L55">
        <f t="shared" si="10"/>
        <v>0</v>
      </c>
      <c r="M55">
        <f t="shared" si="11"/>
        <v>9847379391150</v>
      </c>
      <c r="N55">
        <f t="shared" si="12"/>
        <v>9.6676639352039663E-3</v>
      </c>
      <c r="O55">
        <f t="shared" si="13"/>
        <v>0</v>
      </c>
    </row>
    <row r="56" spans="8:15" x14ac:dyDescent="0.2">
      <c r="H56">
        <f t="shared" si="6"/>
        <v>16</v>
      </c>
      <c r="I56">
        <f t="shared" si="7"/>
        <v>50</v>
      </c>
      <c r="J56">
        <f t="shared" si="8"/>
        <v>0.56598218610672613</v>
      </c>
      <c r="K56">
        <f t="shared" si="9"/>
        <v>45</v>
      </c>
      <c r="L56">
        <f t="shared" si="10"/>
        <v>0</v>
      </c>
      <c r="M56">
        <f t="shared" si="11"/>
        <v>4923689695575</v>
      </c>
      <c r="N56">
        <f t="shared" si="12"/>
        <v>4.8953459285404543E-3</v>
      </c>
      <c r="O56">
        <f t="shared" si="13"/>
        <v>0</v>
      </c>
    </row>
    <row r="57" spans="8:15" x14ac:dyDescent="0.2">
      <c r="H57">
        <f t="shared" si="6"/>
        <v>15</v>
      </c>
      <c r="I57">
        <f t="shared" si="7"/>
        <v>50</v>
      </c>
      <c r="J57">
        <f t="shared" si="8"/>
        <v>0.53129582422792865</v>
      </c>
      <c r="K57">
        <f t="shared" si="9"/>
        <v>45</v>
      </c>
      <c r="L57">
        <f t="shared" si="10"/>
        <v>0</v>
      </c>
      <c r="M57">
        <f t="shared" si="11"/>
        <v>2250829575120.0005</v>
      </c>
      <c r="N57">
        <f t="shared" si="12"/>
        <v>2.2663509478970389E-3</v>
      </c>
      <c r="O57">
        <f t="shared" si="13"/>
        <v>0</v>
      </c>
    </row>
    <row r="58" spans="8:15" x14ac:dyDescent="0.2">
      <c r="H58">
        <f t="shared" si="6"/>
        <v>14</v>
      </c>
      <c r="I58">
        <f t="shared" si="7"/>
        <v>50</v>
      </c>
      <c r="J58">
        <f t="shared" si="8"/>
        <v>0.49873522483763461</v>
      </c>
      <c r="K58">
        <f t="shared" si="9"/>
        <v>45</v>
      </c>
      <c r="L58">
        <f t="shared" si="10"/>
        <v>0</v>
      </c>
      <c r="M58">
        <f t="shared" si="11"/>
        <v>937845656300</v>
      </c>
      <c r="N58">
        <f t="shared" si="12"/>
        <v>9.563299503540214E-4</v>
      </c>
      <c r="O58">
        <f t="shared" si="13"/>
        <v>0</v>
      </c>
    </row>
    <row r="59" spans="8:15" x14ac:dyDescent="0.2">
      <c r="H59">
        <f t="shared" si="6"/>
        <v>13</v>
      </c>
      <c r="I59">
        <f t="shared" si="7"/>
        <v>50</v>
      </c>
      <c r="J59">
        <f t="shared" si="8"/>
        <v>0.46817011004237935</v>
      </c>
      <c r="K59">
        <f t="shared" si="9"/>
        <v>45</v>
      </c>
      <c r="L59">
        <f t="shared" si="10"/>
        <v>0</v>
      </c>
      <c r="M59">
        <f t="shared" si="11"/>
        <v>354860518599.99988</v>
      </c>
      <c r="N59">
        <f t="shared" si="12"/>
        <v>3.6645943348588908E-4</v>
      </c>
      <c r="O59">
        <f t="shared" si="13"/>
        <v>0</v>
      </c>
    </row>
    <row r="60" spans="8:15" x14ac:dyDescent="0.2">
      <c r="H60">
        <f t="shared" si="6"/>
        <v>12</v>
      </c>
      <c r="I60">
        <f t="shared" si="7"/>
        <v>50</v>
      </c>
      <c r="J60">
        <f t="shared" si="8"/>
        <v>0.43947818606245342</v>
      </c>
      <c r="K60">
        <f t="shared" si="9"/>
        <v>45</v>
      </c>
      <c r="L60">
        <f t="shared" si="10"/>
        <v>0</v>
      </c>
      <c r="M60">
        <f t="shared" si="11"/>
        <v>121399651100</v>
      </c>
      <c r="N60">
        <f t="shared" si="12"/>
        <v>1.2696309437905279E-4</v>
      </c>
      <c r="O60">
        <f t="shared" si="13"/>
        <v>0</v>
      </c>
    </row>
    <row r="61" spans="8:15" x14ac:dyDescent="0.2">
      <c r="H61">
        <f t="shared" si="6"/>
        <v>11</v>
      </c>
      <c r="I61">
        <f t="shared" si="7"/>
        <v>50</v>
      </c>
      <c r="J61">
        <f t="shared" si="8"/>
        <v>0.41254465392346623</v>
      </c>
      <c r="K61">
        <f t="shared" si="9"/>
        <v>45</v>
      </c>
      <c r="L61">
        <f t="shared" si="10"/>
        <v>0</v>
      </c>
      <c r="M61">
        <f t="shared" si="11"/>
        <v>37353738799.999985</v>
      </c>
      <c r="N61">
        <f t="shared" si="12"/>
        <v>3.9562704722693075E-5</v>
      </c>
      <c r="O61">
        <f t="shared" si="13"/>
        <v>0</v>
      </c>
    </row>
    <row r="62" spans="8:15" x14ac:dyDescent="0.2">
      <c r="H62">
        <f t="shared" si="6"/>
        <v>10</v>
      </c>
      <c r="I62">
        <f t="shared" si="7"/>
        <v>50</v>
      </c>
      <c r="J62">
        <f t="shared" si="8"/>
        <v>0.38726175013529951</v>
      </c>
      <c r="K62">
        <f t="shared" si="9"/>
        <v>45</v>
      </c>
      <c r="L62">
        <f t="shared" si="10"/>
        <v>0</v>
      </c>
      <c r="M62">
        <f t="shared" si="11"/>
        <v>10272278170</v>
      </c>
      <c r="N62">
        <f t="shared" si="12"/>
        <v>1.1018196301753097E-5</v>
      </c>
      <c r="O62">
        <f t="shared" si="13"/>
        <v>0</v>
      </c>
    </row>
    <row r="63" spans="8:15" x14ac:dyDescent="0.2">
      <c r="H63">
        <f t="shared" si="6"/>
        <v>9</v>
      </c>
      <c r="I63">
        <f t="shared" si="7"/>
        <v>50</v>
      </c>
      <c r="J63">
        <f t="shared" si="8"/>
        <v>0.36352831552066922</v>
      </c>
      <c r="K63">
        <f t="shared" si="9"/>
        <v>45</v>
      </c>
      <c r="L63">
        <f t="shared" si="10"/>
        <v>0</v>
      </c>
      <c r="M63">
        <f t="shared" si="11"/>
        <v>2505433700</v>
      </c>
      <c r="N63">
        <f t="shared" si="12"/>
        <v>2.7215635882093531E-6</v>
      </c>
      <c r="O63">
        <f t="shared" si="13"/>
        <v>0</v>
      </c>
    </row>
    <row r="64" spans="8:15" x14ac:dyDescent="0.2">
      <c r="H64">
        <f t="shared" si="6"/>
        <v>8</v>
      </c>
      <c r="I64">
        <f t="shared" si="7"/>
        <v>50</v>
      </c>
      <c r="J64">
        <f t="shared" si="8"/>
        <v>0.34124939046813785</v>
      </c>
      <c r="K64">
        <f t="shared" si="9"/>
        <v>45</v>
      </c>
      <c r="L64">
        <f t="shared" si="10"/>
        <v>0</v>
      </c>
      <c r="M64">
        <f t="shared" si="11"/>
        <v>536878649.99999988</v>
      </c>
      <c r="N64">
        <f t="shared" si="12"/>
        <v>5.9061373431944732E-7</v>
      </c>
      <c r="O64">
        <f t="shared" si="13"/>
        <v>0</v>
      </c>
    </row>
    <row r="65" spans="8:15" x14ac:dyDescent="0.2">
      <c r="H65">
        <f t="shared" si="6"/>
        <v>7</v>
      </c>
      <c r="I65">
        <f t="shared" si="7"/>
        <v>50</v>
      </c>
      <c r="J65">
        <f t="shared" si="8"/>
        <v>0.32033583499014817</v>
      </c>
      <c r="K65">
        <f t="shared" si="9"/>
        <v>45</v>
      </c>
      <c r="L65">
        <f t="shared" si="10"/>
        <v>0</v>
      </c>
      <c r="M65">
        <f t="shared" si="11"/>
        <v>99884400</v>
      </c>
      <c r="N65">
        <f t="shared" si="12"/>
        <v>1.1127994707300821E-7</v>
      </c>
      <c r="O65">
        <f t="shared" si="13"/>
        <v>0</v>
      </c>
    </row>
    <row r="66" spans="8:15" x14ac:dyDescent="0.2">
      <c r="H66">
        <f t="shared" si="6"/>
        <v>6</v>
      </c>
      <c r="I66">
        <f t="shared" si="7"/>
        <v>50</v>
      </c>
      <c r="J66">
        <f t="shared" si="8"/>
        <v>0.30070397206589744</v>
      </c>
      <c r="K66">
        <f t="shared" si="9"/>
        <v>45</v>
      </c>
      <c r="L66">
        <f t="shared" si="10"/>
        <v>0</v>
      </c>
      <c r="M66">
        <f t="shared" si="11"/>
        <v>15890700</v>
      </c>
      <c r="N66">
        <f t="shared" si="12"/>
        <v>1.7928919241326918E-8</v>
      </c>
      <c r="O66">
        <f t="shared" si="13"/>
        <v>0</v>
      </c>
    </row>
    <row r="67" spans="8:15" x14ac:dyDescent="0.2">
      <c r="H67">
        <f t="shared" si="6"/>
        <v>5</v>
      </c>
      <c r="I67">
        <f t="shared" si="7"/>
        <v>50</v>
      </c>
      <c r="J67">
        <f t="shared" si="8"/>
        <v>0.28227525284203347</v>
      </c>
      <c r="K67">
        <f t="shared" si="9"/>
        <v>45</v>
      </c>
      <c r="L67">
        <f t="shared" si="10"/>
        <v>0</v>
      </c>
      <c r="M67">
        <f t="shared" si="11"/>
        <v>2118760</v>
      </c>
      <c r="N67">
        <f t="shared" si="12"/>
        <v>2.420943670898882E-9</v>
      </c>
      <c r="O67">
        <f t="shared" si="13"/>
        <v>0</v>
      </c>
    </row>
    <row r="68" spans="8:15" x14ac:dyDescent="0.2">
      <c r="H68">
        <f t="shared" si="6"/>
        <v>4</v>
      </c>
      <c r="I68">
        <f t="shared" si="7"/>
        <v>50</v>
      </c>
      <c r="J68">
        <f t="shared" si="8"/>
        <v>0.26497594235161193</v>
      </c>
      <c r="K68">
        <f t="shared" si="9"/>
        <v>45</v>
      </c>
      <c r="L68">
        <f t="shared" si="10"/>
        <v>0</v>
      </c>
      <c r="M68">
        <f t="shared" si="11"/>
        <v>230300</v>
      </c>
      <c r="N68">
        <f t="shared" si="12"/>
        <v>2.6649477245221407E-10</v>
      </c>
      <c r="O68">
        <f t="shared" si="13"/>
        <v>0</v>
      </c>
    </row>
    <row r="69" spans="8:15" x14ac:dyDescent="0.2">
      <c r="H69">
        <f t="shared" si="6"/>
        <v>3</v>
      </c>
      <c r="I69">
        <f t="shared" si="7"/>
        <v>50</v>
      </c>
      <c r="J69">
        <f t="shared" si="8"/>
        <v>0.24873682449384552</v>
      </c>
      <c r="K69">
        <f t="shared" si="9"/>
        <v>45</v>
      </c>
      <c r="L69">
        <f t="shared" si="10"/>
        <v>0</v>
      </c>
      <c r="M69">
        <f t="shared" si="11"/>
        <v>19600</v>
      </c>
      <c r="N69">
        <f t="shared" si="12"/>
        <v>2.2969030518072845E-11</v>
      </c>
      <c r="O69">
        <f t="shared" si="13"/>
        <v>0</v>
      </c>
    </row>
    <row r="70" spans="8:15" x14ac:dyDescent="0.2">
      <c r="H70">
        <f t="shared" si="6"/>
        <v>2</v>
      </c>
      <c r="I70">
        <f t="shared" si="7"/>
        <v>50</v>
      </c>
      <c r="J70">
        <f t="shared" si="8"/>
        <v>0.23349292509424577</v>
      </c>
      <c r="K70">
        <f t="shared" si="9"/>
        <v>45</v>
      </c>
      <c r="L70">
        <f t="shared" si="10"/>
        <v>0</v>
      </c>
      <c r="M70">
        <f t="shared" si="11"/>
        <v>1225</v>
      </c>
      <c r="N70">
        <f t="shared" si="12"/>
        <v>1.4538329888015115E-12</v>
      </c>
      <c r="O70">
        <f t="shared" si="13"/>
        <v>0</v>
      </c>
    </row>
    <row r="71" spans="8:15" x14ac:dyDescent="0.2">
      <c r="H71">
        <f t="shared" si="6"/>
        <v>1</v>
      </c>
      <c r="I71">
        <f t="shared" si="7"/>
        <v>50</v>
      </c>
      <c r="J71">
        <f t="shared" si="8"/>
        <v>0.21918325193709315</v>
      </c>
      <c r="K71">
        <f t="shared" si="9"/>
        <v>45</v>
      </c>
      <c r="L71">
        <f t="shared" si="10"/>
        <v>0</v>
      </c>
      <c r="M71">
        <f t="shared" si="11"/>
        <v>50</v>
      </c>
      <c r="N71">
        <f t="shared" si="12"/>
        <v>6.0095267386020316E-14</v>
      </c>
      <c r="O71">
        <f t="shared" si="13"/>
        <v>0</v>
      </c>
    </row>
    <row r="72" spans="8:15" x14ac:dyDescent="0.2">
      <c r="H72">
        <f t="shared" si="6"/>
        <v>0</v>
      </c>
      <c r="I72">
        <f t="shared" si="7"/>
        <v>50</v>
      </c>
      <c r="J72">
        <f t="shared" si="8"/>
        <v>0.20575055073008372</v>
      </c>
      <c r="K72">
        <f t="shared" si="9"/>
        <v>45</v>
      </c>
      <c r="L72">
        <f t="shared" si="10"/>
        <v>0</v>
      </c>
      <c r="M72">
        <f t="shared" si="11"/>
        <v>1</v>
      </c>
      <c r="N72">
        <f t="shared" si="12"/>
        <v>1.2172004508822339E-15</v>
      </c>
      <c r="O72">
        <f t="shared" si="13"/>
        <v>0</v>
      </c>
    </row>
    <row r="74" spans="8:15" x14ac:dyDescent="0.2">
      <c r="N74">
        <f>SUM(N22:N72)</f>
        <v>1</v>
      </c>
    </row>
    <row r="76" spans="8:15" x14ac:dyDescent="0.2">
      <c r="O76">
        <f>EXP(-E19)*SUM(O22:O72)</f>
        <v>7.637688305501996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C82E3-2B2C-0141-856F-BC84FFD08028}">
  <dimension ref="C2:D26"/>
  <sheetViews>
    <sheetView workbookViewId="0">
      <selection activeCell="M23" sqref="M23"/>
    </sheetView>
  </sheetViews>
  <sheetFormatPr baseColWidth="10" defaultRowHeight="16" x14ac:dyDescent="0.2"/>
  <cols>
    <col min="1" max="16384" width="10.83203125" style="1"/>
  </cols>
  <sheetData>
    <row r="2" spans="3:4" x14ac:dyDescent="0.2">
      <c r="C2" s="1" t="s">
        <v>48</v>
      </c>
    </row>
    <row r="3" spans="3:4" x14ac:dyDescent="0.2">
      <c r="C3" s="26" t="s">
        <v>3</v>
      </c>
      <c r="D3" s="27" t="e">
        <f>#REF!</f>
        <v>#REF!</v>
      </c>
    </row>
    <row r="4" spans="3:4" x14ac:dyDescent="0.2">
      <c r="C4" s="28" t="s">
        <v>7</v>
      </c>
      <c r="D4" s="29" t="e">
        <f>#REF!</f>
        <v>#REF!</v>
      </c>
    </row>
    <row r="5" spans="3:4" x14ac:dyDescent="0.2">
      <c r="C5" s="28" t="s">
        <v>14</v>
      </c>
      <c r="D5" s="29" t="e">
        <f>#REF!</f>
        <v>#REF!</v>
      </c>
    </row>
    <row r="6" spans="3:4" x14ac:dyDescent="0.2">
      <c r="C6" s="28" t="s">
        <v>5</v>
      </c>
      <c r="D6" s="30" t="e">
        <f>#REF!</f>
        <v>#REF!</v>
      </c>
    </row>
    <row r="7" spans="3:4" x14ac:dyDescent="0.2">
      <c r="C7" s="31" t="s">
        <v>47</v>
      </c>
      <c r="D7" s="32" t="e">
        <f>#REF!</f>
        <v>#REF!</v>
      </c>
    </row>
    <row r="9" spans="3:4" x14ac:dyDescent="0.2">
      <c r="C9" s="1" t="s">
        <v>15</v>
      </c>
      <c r="D9" s="1" t="e">
        <f>D7^2</f>
        <v>#REF!</v>
      </c>
    </row>
    <row r="11" spans="3:4" x14ac:dyDescent="0.2">
      <c r="C11" s="1" t="s">
        <v>16</v>
      </c>
      <c r="D11" s="1" t="e">
        <f>LN(D3/D4)</f>
        <v>#REF!</v>
      </c>
    </row>
    <row r="12" spans="3:4" x14ac:dyDescent="0.2">
      <c r="C12" s="1" t="s">
        <v>17</v>
      </c>
      <c r="D12" s="1" t="e">
        <f>(D6+D9/2)*D5</f>
        <v>#REF!</v>
      </c>
    </row>
    <row r="13" spans="3:4" x14ac:dyDescent="0.2">
      <c r="C13" s="1" t="s">
        <v>18</v>
      </c>
      <c r="D13" s="1" t="e">
        <f>SQRT(D9*D5)</f>
        <v>#REF!</v>
      </c>
    </row>
    <row r="15" spans="3:4" x14ac:dyDescent="0.2">
      <c r="C15" s="1" t="s">
        <v>19</v>
      </c>
      <c r="D15" s="1" t="e">
        <f>(D11+D12)/D13</f>
        <v>#REF!</v>
      </c>
    </row>
    <row r="16" spans="3:4" x14ac:dyDescent="0.2">
      <c r="C16" s="1" t="s">
        <v>20</v>
      </c>
      <c r="D16" s="1" t="e">
        <f>D15-D13</f>
        <v>#REF!</v>
      </c>
    </row>
    <row r="18" spans="3:4" x14ac:dyDescent="0.2">
      <c r="C18" s="1" t="s">
        <v>21</v>
      </c>
      <c r="D18" s="1" t="e">
        <f>_xlfn.NORM.DIST(D15,0,1,1)</f>
        <v>#REF!</v>
      </c>
    </row>
    <row r="19" spans="3:4" x14ac:dyDescent="0.2">
      <c r="C19" s="1" t="s">
        <v>22</v>
      </c>
      <c r="D19" s="1" t="e">
        <f>_xlfn.NORM.DIST(D16,0,1,1)</f>
        <v>#REF!</v>
      </c>
    </row>
    <row r="21" spans="3:4" x14ac:dyDescent="0.2">
      <c r="C21" s="1" t="s">
        <v>23</v>
      </c>
      <c r="D21" s="1" t="e">
        <f>EXP(-D6*D5)</f>
        <v>#REF!</v>
      </c>
    </row>
    <row r="23" spans="3:4" x14ac:dyDescent="0.2">
      <c r="C23" s="47" t="s">
        <v>45</v>
      </c>
      <c r="D23" s="48"/>
    </row>
    <row r="24" spans="3:4" x14ac:dyDescent="0.2">
      <c r="C24" s="22" t="s">
        <v>13</v>
      </c>
      <c r="D24" s="23" t="e">
        <f>D3*D18-D4*D21*D19</f>
        <v>#REF!</v>
      </c>
    </row>
    <row r="26" spans="3:4" x14ac:dyDescent="0.2">
      <c r="C26" s="22" t="s">
        <v>66</v>
      </c>
      <c r="D26" s="42" t="e">
        <f>D24+D4*EXP(-1*D6*D5)-D3</f>
        <v>#REF!</v>
      </c>
    </row>
  </sheetData>
  <mergeCells count="1">
    <mergeCell ref="C23:D2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641a79b-5684-4ff8-89b0-3b715ae642f9}" enabled="1" method="Privileged" siteId="{adee44b2-91fc-40f1-abdd-9cc29351b5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Booklet BS</vt:lpstr>
      <vt:lpstr>Binomial one-step</vt:lpstr>
      <vt:lpstr>Binomial n steps</vt:lpstr>
      <vt:lpstr>Black-Scholes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Norli, Øyvind</cp:lastModifiedBy>
  <dcterms:created xsi:type="dcterms:W3CDTF">2022-11-16T19:50:38Z</dcterms:created>
  <dcterms:modified xsi:type="dcterms:W3CDTF">2026-10-30T16:25:06Z</dcterms:modified>
</cp:coreProperties>
</file>